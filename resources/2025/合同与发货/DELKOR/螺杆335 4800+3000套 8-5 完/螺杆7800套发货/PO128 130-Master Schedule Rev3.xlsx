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OR0435-Acosta-Stock\"/>
    </mc:Choice>
  </mc:AlternateContent>
  <xr:revisionPtr revIDLastSave="0" documentId="13_ncr:1_{FCC2EDF8-51E4-42D2-BE9E-80F2DD7F7CF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ipping Schedule Summary " sheetId="51" r:id="rId1"/>
    <sheet name="Sheet1" sheetId="52" r:id="rId2"/>
  </sheets>
  <definedNames>
    <definedName name="_xlnm._FilterDatabase" localSheetId="0" hidden="1">'Shipping Schedule Summary '!$B$4:$V$12</definedName>
    <definedName name="_xlnm.Print_Area" localSheetId="0">'Shipping Schedule Summary '!$A$4:$S$8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52" l="1"/>
  <c r="L99" i="52"/>
  <c r="F7" i="51"/>
  <c r="C6" i="51"/>
  <c r="C7" i="51"/>
  <c r="F6" i="51" l="1"/>
  <c r="F5" i="51"/>
  <c r="C5" i="51"/>
  <c r="M100" i="52" l="1"/>
  <c r="N100" i="52" s="1"/>
  <c r="N99" i="52"/>
  <c r="M98" i="52"/>
  <c r="M97" i="52"/>
  <c r="M96" i="52"/>
  <c r="N96" i="52" s="1"/>
  <c r="O96" i="52" s="1"/>
  <c r="L96" i="52"/>
  <c r="M95" i="52"/>
  <c r="M93" i="52"/>
  <c r="N93" i="52" s="1"/>
  <c r="L93" i="52"/>
  <c r="M92" i="52"/>
  <c r="N92" i="52" s="1"/>
  <c r="O92" i="52" s="1"/>
  <c r="L92" i="52"/>
  <c r="P92" i="52" s="1"/>
  <c r="H92" i="52"/>
  <c r="N91" i="52"/>
  <c r="L91" i="52"/>
  <c r="H91" i="52"/>
  <c r="M44" i="52"/>
  <c r="M43" i="52"/>
  <c r="M42" i="52"/>
  <c r="N42" i="52" s="1"/>
  <c r="L42" i="52"/>
  <c r="M41" i="52"/>
  <c r="N41" i="52" s="1"/>
  <c r="P41" i="52" s="1"/>
  <c r="L41" i="52"/>
  <c r="M40" i="52"/>
  <c r="M39" i="52"/>
  <c r="M38" i="52"/>
  <c r="N38" i="52" s="1"/>
  <c r="O38" i="52" s="1"/>
  <c r="L38" i="52"/>
  <c r="P38" i="52" s="1"/>
  <c r="M37" i="52"/>
  <c r="M35" i="52"/>
  <c r="N35" i="52" s="1"/>
  <c r="L35" i="52"/>
  <c r="M34" i="52"/>
  <c r="N34" i="52" s="1"/>
  <c r="O34" i="52" s="1"/>
  <c r="L34" i="52"/>
  <c r="P34" i="52" s="1"/>
  <c r="H34" i="52"/>
  <c r="N33" i="52"/>
  <c r="L33" i="52"/>
  <c r="F33" i="52"/>
  <c r="P99" i="52" l="1"/>
  <c r="P93" i="52"/>
  <c r="P96" i="52"/>
  <c r="P35" i="52"/>
  <c r="P100" i="52"/>
  <c r="O100" i="52"/>
  <c r="N101" i="52"/>
  <c r="O93" i="52"/>
  <c r="O91" i="52"/>
  <c r="P91" i="52"/>
  <c r="O99" i="52"/>
  <c r="P42" i="52"/>
  <c r="O42" i="52"/>
  <c r="N45" i="52"/>
  <c r="O33" i="52"/>
  <c r="P33" i="52"/>
  <c r="P45" i="52"/>
  <c r="O41" i="52"/>
  <c r="O35" i="52"/>
  <c r="O45" i="52" s="1"/>
  <c r="P101" i="52" l="1"/>
  <c r="O101" i="52"/>
  <c r="N71" i="52" l="1"/>
  <c r="L71" i="52"/>
  <c r="P71" i="52" l="1"/>
  <c r="O71" i="52"/>
  <c r="H58" i="52" l="1"/>
  <c r="H47" i="52"/>
  <c r="I113" i="52"/>
  <c r="I102" i="52"/>
  <c r="M72" i="52"/>
  <c r="N72" i="52" s="1"/>
  <c r="L72" i="52"/>
  <c r="M70" i="52"/>
  <c r="M69" i="52"/>
  <c r="M68" i="52"/>
  <c r="N68" i="52" s="1"/>
  <c r="O68" i="52" s="1"/>
  <c r="L68" i="52"/>
  <c r="L65" i="52"/>
  <c r="M7" i="52"/>
  <c r="M5" i="52"/>
  <c r="M4" i="52"/>
  <c r="M67" i="52"/>
  <c r="M65" i="52"/>
  <c r="N65" i="52" s="1"/>
  <c r="M64" i="52"/>
  <c r="N64" i="52" s="1"/>
  <c r="O64" i="52" s="1"/>
  <c r="I85" i="52"/>
  <c r="I74" i="52"/>
  <c r="L64" i="52"/>
  <c r="H64" i="52"/>
  <c r="N63" i="52"/>
  <c r="L63" i="52"/>
  <c r="H63" i="52"/>
  <c r="O72" i="52" l="1"/>
  <c r="P72" i="52"/>
  <c r="P68" i="52"/>
  <c r="P65" i="52"/>
  <c r="O65" i="52"/>
  <c r="P63" i="52"/>
  <c r="P64" i="52"/>
  <c r="N73" i="52"/>
  <c r="O63" i="52"/>
  <c r="O73" i="52" l="1"/>
  <c r="P73" i="52"/>
  <c r="H18" i="52" l="1"/>
  <c r="L12" i="52"/>
  <c r="M12" i="52"/>
  <c r="N12" i="52" s="1"/>
  <c r="M13" i="52"/>
  <c r="L4" i="52"/>
  <c r="M14" i="52"/>
  <c r="M11" i="52"/>
  <c r="N11" i="52" s="1"/>
  <c r="M10" i="52"/>
  <c r="M9" i="52"/>
  <c r="M8" i="52"/>
  <c r="N8" i="52" s="1"/>
  <c r="N5" i="52"/>
  <c r="N4" i="52"/>
  <c r="H29" i="52"/>
  <c r="L11" i="52"/>
  <c r="L8" i="52"/>
  <c r="L5" i="52"/>
  <c r="H4" i="52"/>
  <c r="N3" i="52"/>
  <c r="L3" i="52"/>
  <c r="F3" i="52"/>
  <c r="N15" i="52" l="1"/>
  <c r="P12" i="52"/>
  <c r="O12" i="52"/>
  <c r="O5" i="52"/>
  <c r="P3" i="52"/>
  <c r="P5" i="52"/>
  <c r="O8" i="52"/>
  <c r="P8" i="52"/>
  <c r="P11" i="52"/>
  <c r="O11" i="52"/>
  <c r="P4" i="52"/>
  <c r="O4" i="52"/>
  <c r="O3" i="52"/>
  <c r="O15" i="52" l="1"/>
  <c r="P15" i="52"/>
  <c r="R6" i="51" l="1"/>
  <c r="R7" i="51" l="1"/>
  <c r="R5" i="51"/>
  <c r="Q8" i="51" l="1"/>
  <c r="P8" i="51"/>
  <c r="O8" i="51"/>
  <c r="N8" i="51"/>
  <c r="M8" i="51"/>
  <c r="L8" i="51"/>
  <c r="R8" i="51" l="1"/>
</calcChain>
</file>

<file path=xl/sharedStrings.xml><?xml version="1.0" encoding="utf-8"?>
<sst xmlns="http://schemas.openxmlformats.org/spreadsheetml/2006/main" count="231" uniqueCount="70">
  <si>
    <t>EXW</t>
  </si>
  <si>
    <t>To Port</t>
  </si>
  <si>
    <t>ETD</t>
  </si>
  <si>
    <t>Port</t>
  </si>
  <si>
    <t>ETA</t>
  </si>
  <si>
    <t>SHIP OWNER</t>
  </si>
  <si>
    <t>VESSEL</t>
  </si>
  <si>
    <t>Nº CONTAINER</t>
  </si>
  <si>
    <t>BILL LANDING</t>
  </si>
  <si>
    <t>PORT</t>
  </si>
  <si>
    <t>Nº DELIVERY NOTE</t>
  </si>
  <si>
    <t>INVOICE</t>
  </si>
  <si>
    <t>Container Qty</t>
  </si>
  <si>
    <t>Barcelona</t>
  </si>
  <si>
    <t>Shanghai</t>
  </si>
  <si>
    <t>Assembly or Not</t>
  </si>
  <si>
    <t>Non-Assembly</t>
  </si>
  <si>
    <t>`</t>
  </si>
  <si>
    <t>Shipment#</t>
  </si>
  <si>
    <t>2</t>
  </si>
  <si>
    <t>X8
Insert No-Assembly</t>
  </si>
  <si>
    <t>ALT1 RF503
Thread Rod Non-Assembly</t>
  </si>
  <si>
    <t>Thread Rod Set</t>
  </si>
  <si>
    <t>PO</t>
  </si>
  <si>
    <t>Supplier</t>
  </si>
  <si>
    <t>Description</t>
  </si>
  <si>
    <t>Unit Net Weight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</si>
  <si>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</si>
  <si>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</si>
  <si>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</si>
  <si>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</si>
  <si>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</si>
  <si>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</si>
  <si>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</si>
  <si>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</si>
  <si>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CONTRACT QTY</t>
  </si>
  <si>
    <t>Est. Packages</t>
  </si>
  <si>
    <t>Est. Weight</t>
  </si>
  <si>
    <t>Est CBM</t>
  </si>
  <si>
    <t>TMT</t>
  </si>
  <si>
    <t>EGGx8</t>
  </si>
  <si>
    <t>Fosco</t>
  </si>
  <si>
    <t>SKL12 clip RC13-01</t>
  </si>
  <si>
    <t>Rail pad RP404</t>
  </si>
  <si>
    <t>Base pad BP426*10mm</t>
  </si>
  <si>
    <t>T-bolt TB22-55</t>
  </si>
  <si>
    <t>Flat washer W6</t>
  </si>
  <si>
    <t>Nut M22</t>
  </si>
  <si>
    <t>Hex Head Screw  M24x100</t>
  </si>
  <si>
    <t>Anchor Insert</t>
  </si>
  <si>
    <t>Spring Washer</t>
  </si>
  <si>
    <t xml:space="preserve">M24 Plain washer </t>
  </si>
  <si>
    <t>egg8 x3</t>
  </si>
  <si>
    <t>x3</t>
  </si>
  <si>
    <t>x2</t>
  </si>
  <si>
    <t>RF503</t>
  </si>
  <si>
    <t>Rail pad RP502</t>
  </si>
  <si>
    <t>Base pad BP514*10mm</t>
  </si>
  <si>
    <t>Sudelan</t>
  </si>
  <si>
    <t>Threaded Rod Assembly</t>
  </si>
  <si>
    <t>503x3</t>
  </si>
  <si>
    <t>x2+1</t>
  </si>
  <si>
    <t>503x2+0.7x1</t>
  </si>
  <si>
    <t>T bolt x1+ Thread rod x2</t>
  </si>
  <si>
    <t>Insert x3</t>
  </si>
  <si>
    <t>Insertx1 Washer set x2</t>
  </si>
  <si>
    <t>Clips x2+T Bolt x1</t>
  </si>
  <si>
    <t>Pads x2</t>
  </si>
  <si>
    <t>T bolt x1+ ALT425X2</t>
  </si>
  <si>
    <t>Serrated Washers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</si>
</sst>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C09]dd\-mmm\-yy;@"/>
    <numFmt numFmtId="165" formatCode="_-* #,##0_-;\-* #,##0_-;_-* &quot;-&quot;??_-;_-@_-"/>
    <numFmt numFmtId="166" formatCode="d/mm/yyyy;@"/>
    <numFmt numFmtId="167" formatCode="0.00_ ;[Red]\-0.00\ "/>
    <numFmt numFmtId="168" formatCode="0_ "/>
    <numFmt numFmtId="169" formatCode="0.00_ 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28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2"/>
      <name val="宋体"/>
      <charset val="134"/>
    </font>
    <font>
      <sz val="11"/>
      <color theme="1"/>
      <name val="Times New Roman"/>
      <family val="1"/>
    </font>
    <font>
      <sz val="11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/>
      <right style="medium">
        <color indexed="64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164" fontId="11" fillId="0" borderId="0"/>
    <xf numFmtId="0" fontId="12" fillId="0" borderId="0">
      <alignment vertical="center"/>
    </xf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166" fontId="8" fillId="0" borderId="4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5" fontId="8" fillId="0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9" fillId="0" borderId="0" xfId="1" applyNumberFormat="1" applyFont="1" applyFill="1" applyAlignment="1">
      <alignment horizontal="center" vertical="center"/>
    </xf>
    <xf numFmtId="3" fontId="9" fillId="2" borderId="6" xfId="1" applyNumberFormat="1" applyFont="1" applyFill="1" applyBorder="1" applyAlignment="1">
      <alignment horizontal="center" vertical="center"/>
    </xf>
    <xf numFmtId="3" fontId="9" fillId="0" borderId="6" xfId="1" applyNumberFormat="1" applyFont="1" applyFill="1" applyBorder="1" applyAlignment="1">
      <alignment horizontal="center" vertical="center"/>
    </xf>
    <xf numFmtId="14" fontId="9" fillId="0" borderId="7" xfId="1" applyNumberFormat="1" applyFont="1" applyFill="1" applyBorder="1" applyAlignment="1">
      <alignment horizontal="center" vertical="center"/>
    </xf>
    <xf numFmtId="1" fontId="9" fillId="0" borderId="9" xfId="1" applyNumberFormat="1" applyFont="1" applyFill="1" applyBorder="1" applyAlignment="1">
      <alignment horizontal="center" vertical="center"/>
    </xf>
    <xf numFmtId="1" fontId="9" fillId="0" borderId="10" xfId="1" applyNumberFormat="1" applyFont="1" applyFill="1" applyBorder="1" applyAlignment="1">
      <alignment horizontal="center" vertical="center"/>
    </xf>
    <xf numFmtId="1" fontId="9" fillId="0" borderId="7" xfId="1" applyNumberFormat="1" applyFont="1" applyFill="1" applyBorder="1" applyAlignment="1">
      <alignment horizontal="center" vertical="center"/>
    </xf>
    <xf numFmtId="14" fontId="9" fillId="0" borderId="11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9" fillId="0" borderId="14" xfId="1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5" xfId="0" applyFont="1" applyBorder="1" applyAlignment="1">
      <alignment horizontal="right" vertical="center" wrapText="1"/>
    </xf>
    <xf numFmtId="165" fontId="8" fillId="0" borderId="0" xfId="1" applyNumberFormat="1" applyFont="1" applyFill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15" fontId="8" fillId="0" borderId="7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65" fontId="8" fillId="0" borderId="7" xfId="1" applyNumberFormat="1" applyFont="1" applyFill="1" applyBorder="1" applyAlignment="1">
      <alignment horizontal="right" vertical="center"/>
    </xf>
    <xf numFmtId="166" fontId="8" fillId="0" borderId="7" xfId="1" applyNumberFormat="1" applyFont="1" applyFill="1" applyBorder="1" applyAlignment="1">
      <alignment horizontal="center" vertical="center"/>
    </xf>
    <xf numFmtId="14" fontId="9" fillId="0" borderId="8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8" fillId="0" borderId="11" xfId="1" applyNumberFormat="1" applyFont="1" applyFill="1" applyBorder="1" applyAlignment="1">
      <alignment horizontal="center" vertical="center"/>
    </xf>
    <xf numFmtId="14" fontId="9" fillId="0" borderId="12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14" fillId="3" borderId="15" xfId="0" applyNumberFormat="1" applyFont="1" applyFill="1" applyBorder="1" applyAlignment="1">
      <alignment horizontal="center" vertical="center" wrapText="1"/>
    </xf>
    <xf numFmtId="49" fontId="14" fillId="3" borderId="15" xfId="0" applyNumberFormat="1" applyFont="1" applyFill="1" applyBorder="1" applyAlignment="1">
      <alignment horizontal="center" vertical="center" wrapText="1"/>
    </xf>
    <xf numFmtId="49" fontId="14" fillId="3" borderId="15" xfId="0" applyNumberFormat="1" applyFont="1" applyFill="1" applyBorder="1" applyAlignment="1">
      <alignment vertical="center" wrapText="1"/>
    </xf>
    <xf numFmtId="0" fontId="0" fillId="4" borderId="15" xfId="0" applyFill="1" applyBorder="1" applyAlignment="1">
      <alignment horizontal="center" vertical="center" wrapText="1"/>
    </xf>
    <xf numFmtId="2" fontId="0" fillId="0" borderId="0" xfId="0" applyNumberFormat="1" applyAlignment="1">
      <alignment vertical="center"/>
    </xf>
    <xf numFmtId="169" fontId="16" fillId="4" borderId="15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3" fillId="0" borderId="0" xfId="0" applyFont="1"/>
    <xf numFmtId="168" fontId="16" fillId="4" borderId="15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169" fontId="17" fillId="4" borderId="16" xfId="0" applyNumberFormat="1" applyFont="1" applyFill="1" applyBorder="1" applyAlignment="1">
      <alignment horizontal="center" vertical="center"/>
    </xf>
    <xf numFmtId="0" fontId="0" fillId="4" borderId="15" xfId="0" applyFill="1" applyBorder="1"/>
    <xf numFmtId="0" fontId="15" fillId="4" borderId="15" xfId="0" applyFont="1" applyFill="1" applyBorder="1" applyAlignment="1">
      <alignment horizontal="center" vertical="center"/>
    </xf>
    <xf numFmtId="168" fontId="0" fillId="4" borderId="15" xfId="0" applyNumberFormat="1" applyFill="1" applyBorder="1" applyAlignment="1">
      <alignment horizontal="center" vertical="center"/>
    </xf>
    <xf numFmtId="167" fontId="0" fillId="4" borderId="15" xfId="0" applyNumberFormat="1" applyFill="1" applyBorder="1" applyAlignment="1">
      <alignment horizontal="center"/>
    </xf>
    <xf numFmtId="169" fontId="0" fillId="4" borderId="15" xfId="0" applyNumberForma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vertical="center"/>
    </xf>
    <xf numFmtId="2" fontId="0" fillId="4" borderId="15" xfId="0" applyNumberFormat="1" applyFill="1" applyBorder="1" applyAlignment="1">
      <alignment horizontal="center" vertical="center"/>
    </xf>
    <xf numFmtId="0" fontId="0" fillId="4" borderId="0" xfId="0" applyFill="1"/>
    <xf numFmtId="0" fontId="0" fillId="4" borderId="15" xfId="0" applyFill="1" applyBorder="1" applyAlignment="1">
      <alignment horizontal="center" vertical="center" shrinkToFit="1"/>
    </xf>
    <xf numFmtId="2" fontId="0" fillId="4" borderId="15" xfId="0" applyNumberFormat="1" applyFill="1" applyBorder="1" applyAlignment="1">
      <alignment horizontal="center"/>
    </xf>
    <xf numFmtId="168" fontId="0" fillId="4" borderId="15" xfId="0" applyNumberForma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/>
    </xf>
    <xf numFmtId="0" fontId="0" fillId="4" borderId="15" xfId="0" applyFill="1" applyBorder="1" applyAlignment="1">
      <alignment vertical="center"/>
    </xf>
    <xf numFmtId="0" fontId="16" fillId="4" borderId="15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68" fontId="0" fillId="4" borderId="15" xfId="0" applyNumberFormat="1" applyFill="1" applyBorder="1" applyAlignment="1">
      <alignment horizontal="center" vertical="center"/>
    </xf>
    <xf numFmtId="169" fontId="16" fillId="4" borderId="15" xfId="0" applyNumberFormat="1" applyFont="1" applyFill="1" applyBorder="1" applyAlignment="1">
      <alignment horizontal="center" vertical="center"/>
    </xf>
    <xf numFmtId="169" fontId="0" fillId="4" borderId="15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8" fontId="16" fillId="4" borderId="15" xfId="0" applyNumberFormat="1" applyFont="1" applyFill="1" applyBorder="1" applyAlignment="1">
      <alignment horizontal="center" vertical="center"/>
    </xf>
    <xf numFmtId="2" fontId="0" fillId="4" borderId="15" xfId="0" applyNumberFormat="1" applyFill="1" applyBorder="1" applyAlignment="1">
      <alignment vertical="center"/>
    </xf>
    <xf numFmtId="2" fontId="0" fillId="4" borderId="15" xfId="0" applyNumberForma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00000000-0005-0000-0000-00002B000000}"/>
    <cellStyle name="Normal 3 2" xfId="2" xr:uid="{00000000-0005-0000-0000-000023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1CF2-4C9E-4CA3-B1A9-D538D88EACC2}">
  <sheetPr>
    <pageSetUpPr fitToPage="1"/>
  </sheetPr>
  <dimension ref="A1:U9"/>
  <sheetViews>
    <sheetView topLeftCell="A2" zoomScale="70" zoomScaleNormal="70" workbookViewId="0">
      <selection activeCell="E11" sqref="E11"/>
    </sheetView>
  </sheetViews>
  <sheetFormatPr defaultColWidth="8.88671875" defaultRowHeight="14.4"/>
  <cols>
    <col min="1" max="1" width="17.44140625" style="24" customWidth="1"/>
    <col min="2" max="2" width="16.6640625" customWidth="1"/>
    <col min="3" max="5" width="16.6640625" style="1" customWidth="1"/>
    <col min="6" max="6" width="18.44140625" style="7" customWidth="1"/>
    <col min="7" max="7" width="10.33203125" style="7" hidden="1" customWidth="1"/>
    <col min="8" max="8" width="11.88671875" style="7" hidden="1" customWidth="1"/>
    <col min="9" max="9" width="7.88671875" style="7" hidden="1" customWidth="1"/>
    <col min="10" max="10" width="10.44140625" style="7" hidden="1" customWidth="1"/>
    <col min="11" max="11" width="31.109375" style="7" customWidth="1"/>
    <col min="12" max="18" width="15.6640625" style="7" customWidth="1"/>
    <col min="19" max="19" width="20.33203125" style="7" customWidth="1"/>
    <col min="20" max="21" width="26.6640625" style="1" customWidth="1"/>
  </cols>
  <sheetData>
    <row r="1" spans="1:21" ht="15" hidden="1" customHeight="1">
      <c r="A1" s="24" t="s">
        <v>17</v>
      </c>
    </row>
    <row r="2" spans="1:21" ht="36.6"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 ht="24" thickBot="1">
      <c r="F3" s="1"/>
      <c r="G3" s="1"/>
      <c r="H3" s="1"/>
      <c r="I3" s="1"/>
      <c r="J3" s="1"/>
      <c r="K3" s="1"/>
      <c r="L3" s="1">
        <v>850</v>
      </c>
      <c r="M3" s="1"/>
      <c r="N3" s="1">
        <v>1200</v>
      </c>
      <c r="O3" s="1"/>
      <c r="P3" s="1"/>
      <c r="Q3" s="1"/>
      <c r="R3" s="1"/>
      <c r="S3" s="1"/>
      <c r="T3" s="22"/>
      <c r="U3" s="22"/>
    </row>
    <row r="4" spans="1:21" s="6" customFormat="1" ht="46.2" customHeight="1" thickBot="1">
      <c r="A4" s="25" t="s">
        <v>18</v>
      </c>
      <c r="B4" s="18" t="s">
        <v>0</v>
      </c>
      <c r="C4" s="18" t="s">
        <v>1</v>
      </c>
      <c r="D4" s="18" t="s">
        <v>2</v>
      </c>
      <c r="E4" s="18" t="s">
        <v>3</v>
      </c>
      <c r="F4" s="19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19" t="s">
        <v>15</v>
      </c>
      <c r="L4" s="20" t="s">
        <v>20</v>
      </c>
      <c r="M4" s="21" t="s">
        <v>12</v>
      </c>
      <c r="N4" s="20" t="s">
        <v>21</v>
      </c>
      <c r="O4" s="21" t="s">
        <v>12</v>
      </c>
      <c r="P4" s="20" t="s">
        <v>22</v>
      </c>
      <c r="Q4" s="21" t="s">
        <v>12</v>
      </c>
      <c r="R4" s="19" t="s">
        <v>12</v>
      </c>
      <c r="S4" s="19" t="s">
        <v>9</v>
      </c>
      <c r="T4" s="18" t="s">
        <v>10</v>
      </c>
      <c r="U4" s="18" t="s">
        <v>11</v>
      </c>
    </row>
    <row r="5" spans="1:21" s="34" customFormat="1" ht="18">
      <c r="A5" s="31">
        <v>1</v>
      </c>
      <c r="B5" s="32">
        <v>45948</v>
      </c>
      <c r="C5" s="32">
        <f>B5+4</f>
        <v>45952</v>
      </c>
      <c r="D5" s="32">
        <v>45960</v>
      </c>
      <c r="E5" s="32" t="s">
        <v>14</v>
      </c>
      <c r="F5" s="11">
        <f>D5+40</f>
        <v>46000</v>
      </c>
      <c r="G5" s="33"/>
      <c r="H5" s="33"/>
      <c r="I5" s="33"/>
      <c r="J5" s="33"/>
      <c r="K5" s="15" t="s">
        <v>16</v>
      </c>
      <c r="L5" s="12"/>
      <c r="M5" s="13"/>
      <c r="N5" s="12">
        <v>1200</v>
      </c>
      <c r="O5" s="13">
        <v>1</v>
      </c>
      <c r="P5" s="12">
        <v>1600</v>
      </c>
      <c r="Q5" s="13"/>
      <c r="R5" s="14">
        <f>SUM(M5+O5+Q5)</f>
        <v>1</v>
      </c>
      <c r="S5" s="11" t="s">
        <v>13</v>
      </c>
      <c r="T5" s="27"/>
      <c r="U5" s="28"/>
    </row>
    <row r="6" spans="1:21" s="34" customFormat="1" ht="18" customHeight="1">
      <c r="A6" s="31" t="s">
        <v>19</v>
      </c>
      <c r="B6" s="35">
        <v>45951</v>
      </c>
      <c r="C6" s="32">
        <f>B6+4</f>
        <v>45955</v>
      </c>
      <c r="D6" s="32">
        <v>45960</v>
      </c>
      <c r="E6" s="32" t="s">
        <v>14</v>
      </c>
      <c r="F6" s="11">
        <f>D6+40</f>
        <v>46000</v>
      </c>
      <c r="G6" s="36"/>
      <c r="H6" s="36"/>
      <c r="I6" s="36"/>
      <c r="J6" s="36"/>
      <c r="K6" s="15" t="s">
        <v>16</v>
      </c>
      <c r="L6" s="12"/>
      <c r="M6" s="13"/>
      <c r="N6" s="12">
        <v>1200</v>
      </c>
      <c r="O6" s="13">
        <v>1</v>
      </c>
      <c r="P6" s="16">
        <v>1400</v>
      </c>
      <c r="Q6" s="17"/>
      <c r="R6" s="14">
        <f t="shared" ref="R6" si="0">SUM(M6+O6+Q6)</f>
        <v>1</v>
      </c>
      <c r="S6" s="15" t="s">
        <v>13</v>
      </c>
      <c r="T6" s="29"/>
      <c r="U6" s="30"/>
    </row>
    <row r="7" spans="1:21" s="34" customFormat="1" ht="18" customHeight="1">
      <c r="A7" s="31" t="s">
        <v>19</v>
      </c>
      <c r="B7" s="35">
        <v>45954</v>
      </c>
      <c r="C7" s="32">
        <f>B7+4</f>
        <v>45958</v>
      </c>
      <c r="D7" s="32">
        <v>45968</v>
      </c>
      <c r="E7" s="32" t="s">
        <v>14</v>
      </c>
      <c r="F7" s="11">
        <f>D7+40</f>
        <v>46008</v>
      </c>
      <c r="G7" s="36"/>
      <c r="H7" s="36"/>
      <c r="I7" s="36"/>
      <c r="J7" s="36"/>
      <c r="K7" s="15" t="s">
        <v>16</v>
      </c>
      <c r="L7" s="12">
        <v>1700</v>
      </c>
      <c r="M7" s="13">
        <v>2</v>
      </c>
      <c r="N7" s="13"/>
      <c r="O7" s="13"/>
      <c r="P7" s="12"/>
      <c r="Q7" s="17"/>
      <c r="R7" s="14">
        <f t="shared" ref="R7:R8" si="1">SUM(M7+O7+Q7)</f>
        <v>2</v>
      </c>
      <c r="S7" s="15" t="s">
        <v>13</v>
      </c>
      <c r="T7" s="29"/>
      <c r="U7" s="30"/>
    </row>
    <row r="8" spans="1:21" s="2" customFormat="1" ht="18.600000000000001" thickBot="1">
      <c r="A8" s="26"/>
      <c r="B8" s="3"/>
      <c r="C8" s="5"/>
      <c r="D8" s="5"/>
      <c r="E8" s="5"/>
      <c r="F8" s="8"/>
      <c r="G8" s="8"/>
      <c r="H8" s="8"/>
      <c r="I8" s="8"/>
      <c r="J8" s="8"/>
      <c r="K8" s="8"/>
      <c r="L8" s="9">
        <f t="shared" ref="L8:Q8" si="2">SUM(L5:L7)</f>
        <v>1700</v>
      </c>
      <c r="M8" s="10">
        <f t="shared" si="2"/>
        <v>2</v>
      </c>
      <c r="N8" s="9">
        <f t="shared" si="2"/>
        <v>2400</v>
      </c>
      <c r="O8" s="10">
        <f t="shared" si="2"/>
        <v>2</v>
      </c>
      <c r="P8" s="9">
        <f t="shared" si="2"/>
        <v>3000</v>
      </c>
      <c r="Q8" s="10">
        <f t="shared" si="2"/>
        <v>0</v>
      </c>
      <c r="R8" s="14">
        <f t="shared" si="1"/>
        <v>4</v>
      </c>
      <c r="S8" s="8"/>
      <c r="T8" s="23"/>
      <c r="U8" s="23"/>
    </row>
    <row r="9" spans="1:21" ht="31.2" customHeight="1"/>
  </sheetData>
  <autoFilter ref="B4:V12" xr:uid="{2EFB1CF2-4C9E-4CA3-B1A9-D538D88EACC2}"/>
  <mergeCells count="1">
    <mergeCell ref="B2:U2"/>
  </mergeCells>
  <pageMargins left="0.23622047244094491" right="0.23622047244094491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DF1F-37D3-4169-98CE-F412245E17BC}">
  <dimension ref="A1:P114"/>
  <sheetViews>
    <sheetView tabSelected="1" topLeftCell="A30" workbookViewId="0">
      <selection activeCell="H91" sqref="H91"/>
    </sheetView>
  </sheetViews>
  <sheetFormatPr defaultRowHeight="14.4"/>
  <cols>
    <col min="3" max="3" width="22.88671875" bestFit="1" customWidth="1"/>
    <col min="7" max="7" width="16.6640625" bestFit="1" customWidth="1"/>
  </cols>
  <sheetData>
    <row r="1" spans="1:16">
      <c r="A1">
        <v>1</v>
      </c>
      <c r="B1" s="1"/>
      <c r="C1" s="1"/>
      <c r="D1" s="1"/>
      <c r="N1" s="1"/>
      <c r="O1" s="37"/>
    </row>
    <row r="2" spans="1:16" ht="41.4">
      <c r="A2" s="38" t="s">
        <v>23</v>
      </c>
      <c r="B2" s="39" t="s">
        <v>24</v>
      </c>
      <c r="C2" s="39" t="s">
        <v>25</v>
      </c>
      <c r="D2" s="39" t="s">
        <v>26</v>
      </c>
      <c r="E2" s="38" t="s">
        <v>27</v>
      </c>
      <c r="F2" s="39" t="s">
        <v>28</v>
      </c>
      <c r="G2" s="39" t="s">
        <v>29</v>
      </c>
      <c r="H2" s="39" t="s">
        <v>30</v>
      </c>
      <c r="I2" s="39" t="s">
        <v>31</v>
      </c>
      <c r="J2" s="39" t="s">
        <v>32</v>
      </c>
      <c r="K2" s="39" t="s">
        <v>33</v>
      </c>
      <c r="L2" s="39" t="s">
        <v>34</v>
      </c>
      <c r="M2" s="39" t="s">
        <v>35</v>
      </c>
      <c r="N2" s="39" t="s">
        <v>36</v>
      </c>
      <c r="O2" s="40" t="s">
        <v>37</v>
      </c>
      <c r="P2" s="39" t="s">
        <v>38</v>
      </c>
    </row>
    <row r="3" spans="1:16" s="57" customFormat="1">
      <c r="A3" s="49"/>
      <c r="B3" s="44" t="s">
        <v>39</v>
      </c>
      <c r="C3" s="44" t="s">
        <v>40</v>
      </c>
      <c r="D3" s="44">
        <v>16.600000000000001</v>
      </c>
      <c r="E3" s="54">
        <v>36</v>
      </c>
      <c r="F3" s="52">
        <f>H3+G3</f>
        <v>609</v>
      </c>
      <c r="G3" s="52">
        <v>33</v>
      </c>
      <c r="H3" s="52">
        <v>576</v>
      </c>
      <c r="I3" s="52">
        <v>0.99</v>
      </c>
      <c r="J3" s="52">
        <v>0.85</v>
      </c>
      <c r="K3" s="52">
        <v>0.71</v>
      </c>
      <c r="L3" s="59">
        <f t="shared" ref="L3:L8" si="0">I3*J3*K3</f>
        <v>0.59746500000000002</v>
      </c>
      <c r="M3" s="63">
        <v>850</v>
      </c>
      <c r="N3" s="44">
        <f>M3/E3</f>
        <v>23.611111111111111</v>
      </c>
      <c r="O3" s="64">
        <f t="shared" ref="O3" si="1">N3*F3</f>
        <v>14379.166666666666</v>
      </c>
      <c r="P3" s="49">
        <f>N3*L3</f>
        <v>14.1068125</v>
      </c>
    </row>
    <row r="4" spans="1:16" s="57" customFormat="1" ht="15.6">
      <c r="A4" s="49"/>
      <c r="B4" s="44" t="s">
        <v>41</v>
      </c>
      <c r="C4" s="41" t="s">
        <v>42</v>
      </c>
      <c r="D4" s="50">
        <v>0.55000000000000004</v>
      </c>
      <c r="E4" s="46">
        <v>850</v>
      </c>
      <c r="F4" s="51">
        <v>517.5</v>
      </c>
      <c r="G4" s="54">
        <v>50</v>
      </c>
      <c r="H4" s="52">
        <f>E4*D4</f>
        <v>467.50000000000006</v>
      </c>
      <c r="I4" s="43">
        <v>1.0900000000000001</v>
      </c>
      <c r="J4" s="43">
        <v>1.02</v>
      </c>
      <c r="K4" s="43">
        <v>0.57999999999999996</v>
      </c>
      <c r="L4" s="53">
        <f t="shared" si="0"/>
        <v>0.64484399999999997</v>
      </c>
      <c r="M4" s="54">
        <f>$M$3*2</f>
        <v>1700</v>
      </c>
      <c r="N4" s="44">
        <f>M4/E4</f>
        <v>2</v>
      </c>
      <c r="O4" s="55">
        <f>N4*F4</f>
        <v>1035</v>
      </c>
      <c r="P4" s="56">
        <f t="shared" ref="P4:P8" si="2">L4*N4</f>
        <v>1.2896879999999999</v>
      </c>
    </row>
    <row r="5" spans="1:16" s="57" customFormat="1" ht="15.6">
      <c r="A5" s="49"/>
      <c r="B5" s="44" t="s">
        <v>41</v>
      </c>
      <c r="C5" s="41" t="s">
        <v>43</v>
      </c>
      <c r="D5" s="50">
        <v>0.104</v>
      </c>
      <c r="E5" s="46">
        <v>425</v>
      </c>
      <c r="F5" s="72">
        <v>785</v>
      </c>
      <c r="G5" s="72">
        <v>50</v>
      </c>
      <c r="H5" s="72">
        <v>734</v>
      </c>
      <c r="I5" s="73">
        <v>1.1000000000000001</v>
      </c>
      <c r="J5" s="73">
        <v>1.1000000000000001</v>
      </c>
      <c r="K5" s="73">
        <v>1.06</v>
      </c>
      <c r="L5" s="74">
        <f t="shared" si="0"/>
        <v>1.2826000000000002</v>
      </c>
      <c r="M5" s="54">
        <f>$M$3*1</f>
        <v>850</v>
      </c>
      <c r="N5" s="75">
        <f>M5/E5</f>
        <v>2</v>
      </c>
      <c r="O5" s="75">
        <f>N5*F5</f>
        <v>1570</v>
      </c>
      <c r="P5" s="75">
        <f t="shared" si="2"/>
        <v>2.5652000000000004</v>
      </c>
    </row>
    <row r="6" spans="1:16" s="57" customFormat="1" ht="15.6">
      <c r="A6" s="49"/>
      <c r="B6" s="44" t="s">
        <v>41</v>
      </c>
      <c r="C6" s="61" t="s">
        <v>69</v>
      </c>
      <c r="D6" s="62">
        <v>0.1</v>
      </c>
      <c r="E6" s="46">
        <v>850</v>
      </c>
      <c r="F6" s="72"/>
      <c r="G6" s="72"/>
      <c r="H6" s="72"/>
      <c r="I6" s="73"/>
      <c r="J6" s="73"/>
      <c r="K6" s="73"/>
      <c r="L6" s="74"/>
      <c r="M6" s="54">
        <v>1700</v>
      </c>
      <c r="N6" s="75"/>
      <c r="O6" s="75"/>
      <c r="P6" s="75"/>
    </row>
    <row r="7" spans="1:16" s="57" customFormat="1" ht="15.6">
      <c r="A7" s="44"/>
      <c r="B7" s="44" t="s">
        <v>41</v>
      </c>
      <c r="C7" s="41" t="s">
        <v>44</v>
      </c>
      <c r="D7" s="50">
        <v>1.425</v>
      </c>
      <c r="E7" s="46">
        <v>425</v>
      </c>
      <c r="F7" s="72"/>
      <c r="G7" s="72"/>
      <c r="H7" s="72"/>
      <c r="I7" s="73"/>
      <c r="J7" s="73"/>
      <c r="K7" s="73"/>
      <c r="L7" s="74"/>
      <c r="M7" s="54">
        <f>$M$3*1</f>
        <v>850</v>
      </c>
      <c r="N7" s="75"/>
      <c r="O7" s="75"/>
      <c r="P7" s="75"/>
    </row>
    <row r="8" spans="1:16" s="57" customFormat="1" ht="15.6">
      <c r="A8" s="44"/>
      <c r="B8" s="44" t="s">
        <v>41</v>
      </c>
      <c r="C8" s="41" t="s">
        <v>45</v>
      </c>
      <c r="D8" s="50">
        <v>0.307</v>
      </c>
      <c r="E8" s="46">
        <v>850</v>
      </c>
      <c r="F8" s="72">
        <v>497.1</v>
      </c>
      <c r="G8" s="75">
        <v>65</v>
      </c>
      <c r="H8" s="72">
        <v>447</v>
      </c>
      <c r="I8" s="73">
        <v>0.88</v>
      </c>
      <c r="J8" s="73">
        <v>0.8</v>
      </c>
      <c r="K8" s="73">
        <v>0.7</v>
      </c>
      <c r="L8" s="74">
        <f t="shared" si="0"/>
        <v>0.49280000000000002</v>
      </c>
      <c r="M8" s="54">
        <f t="shared" ref="M8:M14" si="3">$M$3*2</f>
        <v>1700</v>
      </c>
      <c r="N8" s="75">
        <f>M8/E8</f>
        <v>2</v>
      </c>
      <c r="O8" s="79">
        <f t="shared" ref="O8" si="4">F8*N8</f>
        <v>994.2</v>
      </c>
      <c r="P8" s="80">
        <f t="shared" si="2"/>
        <v>0.98560000000000003</v>
      </c>
    </row>
    <row r="9" spans="1:16" s="57" customFormat="1" ht="15.6">
      <c r="A9" s="44"/>
      <c r="B9" s="44" t="s">
        <v>41</v>
      </c>
      <c r="C9" s="41" t="s">
        <v>46</v>
      </c>
      <c r="D9" s="50">
        <v>4.9000000000000002E-2</v>
      </c>
      <c r="E9" s="46">
        <v>850</v>
      </c>
      <c r="F9" s="72"/>
      <c r="G9" s="75"/>
      <c r="H9" s="72"/>
      <c r="I9" s="73"/>
      <c r="J9" s="73"/>
      <c r="K9" s="73"/>
      <c r="L9" s="74"/>
      <c r="M9" s="54">
        <f t="shared" si="3"/>
        <v>1700</v>
      </c>
      <c r="N9" s="75"/>
      <c r="O9" s="79"/>
      <c r="P9" s="80"/>
    </row>
    <row r="10" spans="1:16" s="57" customFormat="1" ht="15.6">
      <c r="A10" s="44"/>
      <c r="B10" s="44" t="s">
        <v>41</v>
      </c>
      <c r="C10" s="41" t="s">
        <v>47</v>
      </c>
      <c r="D10" s="50">
        <v>0.17</v>
      </c>
      <c r="E10" s="46">
        <v>850</v>
      </c>
      <c r="F10" s="72"/>
      <c r="G10" s="75"/>
      <c r="H10" s="72"/>
      <c r="I10" s="73"/>
      <c r="J10" s="73"/>
      <c r="K10" s="73"/>
      <c r="L10" s="74"/>
      <c r="M10" s="54">
        <f t="shared" si="3"/>
        <v>1700</v>
      </c>
      <c r="N10" s="75"/>
      <c r="O10" s="79"/>
      <c r="P10" s="80"/>
    </row>
    <row r="11" spans="1:16" s="57" customFormat="1" ht="27.6" customHeight="1">
      <c r="A11" s="49"/>
      <c r="B11" s="44" t="s">
        <v>41</v>
      </c>
      <c r="C11" s="58" t="s">
        <v>49</v>
      </c>
      <c r="D11" s="58">
        <v>1.1100000000000001</v>
      </c>
      <c r="E11" s="46">
        <v>425</v>
      </c>
      <c r="F11" s="46">
        <v>521.75</v>
      </c>
      <c r="G11" s="44">
        <v>40</v>
      </c>
      <c r="H11" s="51">
        <v>471.75</v>
      </c>
      <c r="I11" s="43">
        <v>1</v>
      </c>
      <c r="J11" s="43">
        <v>0.75</v>
      </c>
      <c r="K11" s="43">
        <v>0.7</v>
      </c>
      <c r="L11" s="53">
        <f t="shared" ref="L11" si="5">I11*J11*K11</f>
        <v>0.52499999999999991</v>
      </c>
      <c r="M11" s="54">
        <f t="shared" si="3"/>
        <v>1700</v>
      </c>
      <c r="N11" s="44">
        <f t="shared" ref="N11" si="6">M11/E11</f>
        <v>4</v>
      </c>
      <c r="O11" s="60">
        <f t="shared" ref="O11" si="7">N11*F11</f>
        <v>2087</v>
      </c>
      <c r="P11" s="56">
        <f t="shared" ref="P11" si="8">N11*L11</f>
        <v>2.0999999999999996</v>
      </c>
    </row>
    <row r="12" spans="1:16" s="57" customFormat="1">
      <c r="A12" s="49"/>
      <c r="B12" s="44" t="s">
        <v>41</v>
      </c>
      <c r="C12" s="41" t="s">
        <v>51</v>
      </c>
      <c r="D12" s="65">
        <v>3.2000000000000001E-2</v>
      </c>
      <c r="E12" s="46">
        <v>850</v>
      </c>
      <c r="F12" s="78">
        <v>565.95000000000005</v>
      </c>
      <c r="G12" s="78">
        <v>50</v>
      </c>
      <c r="H12" s="78">
        <v>516</v>
      </c>
      <c r="I12" s="73">
        <v>1</v>
      </c>
      <c r="J12" s="73">
        <v>0.75</v>
      </c>
      <c r="K12" s="73">
        <v>0.7</v>
      </c>
      <c r="L12" s="73">
        <f>K12*J12*I12</f>
        <v>0.52499999999999991</v>
      </c>
      <c r="M12" s="54">
        <f t="shared" si="3"/>
        <v>1700</v>
      </c>
      <c r="N12" s="78">
        <f>M12/E12</f>
        <v>2</v>
      </c>
      <c r="O12" s="78">
        <f>N12*F12</f>
        <v>1131.9000000000001</v>
      </c>
      <c r="P12" s="73">
        <f>N12*L12</f>
        <v>1.0499999999999998</v>
      </c>
    </row>
    <row r="13" spans="1:16" s="57" customFormat="1" ht="22.8" customHeight="1">
      <c r="A13" s="49"/>
      <c r="B13" s="44" t="s">
        <v>41</v>
      </c>
      <c r="C13" s="58" t="s">
        <v>48</v>
      </c>
      <c r="D13" s="65">
        <v>0.53</v>
      </c>
      <c r="E13" s="46">
        <v>850</v>
      </c>
      <c r="F13" s="78"/>
      <c r="G13" s="78"/>
      <c r="H13" s="78"/>
      <c r="I13" s="73"/>
      <c r="J13" s="73"/>
      <c r="K13" s="73"/>
      <c r="L13" s="73"/>
      <c r="M13" s="54">
        <f t="shared" si="3"/>
        <v>1700</v>
      </c>
      <c r="N13" s="78"/>
      <c r="O13" s="78"/>
      <c r="P13" s="73"/>
    </row>
    <row r="14" spans="1:16" s="57" customFormat="1">
      <c r="A14" s="49"/>
      <c r="B14" s="44" t="s">
        <v>41</v>
      </c>
      <c r="C14" s="41" t="s">
        <v>50</v>
      </c>
      <c r="D14" s="65">
        <v>4.4999999999999998E-2</v>
      </c>
      <c r="E14" s="46">
        <v>850</v>
      </c>
      <c r="F14" s="78"/>
      <c r="G14" s="78"/>
      <c r="H14" s="78"/>
      <c r="I14" s="73"/>
      <c r="J14" s="73"/>
      <c r="K14" s="73"/>
      <c r="L14" s="73"/>
      <c r="M14" s="54">
        <f t="shared" si="3"/>
        <v>1700</v>
      </c>
      <c r="N14" s="78"/>
      <c r="O14" s="78"/>
      <c r="P14" s="73"/>
    </row>
    <row r="15" spans="1:16">
      <c r="B15" s="1"/>
      <c r="C15" s="1"/>
      <c r="D15" s="1"/>
      <c r="F15" s="37"/>
      <c r="G15" s="37"/>
      <c r="H15" s="37"/>
      <c r="I15" s="37"/>
      <c r="J15" s="37"/>
      <c r="K15" s="37"/>
      <c r="L15" s="37"/>
      <c r="M15" s="37"/>
      <c r="N15" s="42">
        <f>SUM(N3:N14)</f>
        <v>35.611111111111114</v>
      </c>
      <c r="O15" s="42">
        <f>SUM(O3:O14)</f>
        <v>21197.266666666666</v>
      </c>
      <c r="P15" s="42">
        <f>SUM(P3:P14)</f>
        <v>22.097300499999999</v>
      </c>
    </row>
    <row r="16" spans="1:16">
      <c r="B16" s="1"/>
      <c r="C16" s="1"/>
      <c r="D16" s="1"/>
    </row>
    <row r="17" spans="1:16">
      <c r="B17" s="1"/>
      <c r="C17" s="1"/>
      <c r="D17" s="1"/>
    </row>
    <row r="18" spans="1:16">
      <c r="B18" s="1"/>
      <c r="C18" s="1"/>
      <c r="D18" s="1"/>
      <c r="H18" s="71">
        <f>SUM(H19:N19)</f>
        <v>5.52</v>
      </c>
      <c r="I18" s="71"/>
      <c r="J18" s="71"/>
      <c r="K18" s="71"/>
      <c r="L18" s="71"/>
      <c r="M18" s="71"/>
      <c r="N18" s="71"/>
    </row>
    <row r="19" spans="1:16">
      <c r="B19" s="1"/>
      <c r="C19" s="1"/>
      <c r="D19" s="1"/>
      <c r="I19">
        <v>1.02</v>
      </c>
      <c r="J19">
        <v>0.85</v>
      </c>
      <c r="K19" s="45">
        <v>1.1000000000000001</v>
      </c>
      <c r="L19">
        <v>0.85</v>
      </c>
      <c r="M19">
        <v>0.85</v>
      </c>
      <c r="N19">
        <v>0.85</v>
      </c>
    </row>
    <row r="20" spans="1:16">
      <c r="B20" s="1"/>
      <c r="C20" s="1"/>
      <c r="D20" s="1"/>
      <c r="H20" s="77"/>
      <c r="I20" s="77" t="s">
        <v>66</v>
      </c>
      <c r="J20" s="70" t="s">
        <v>52</v>
      </c>
      <c r="K20" s="77" t="s">
        <v>67</v>
      </c>
      <c r="L20" s="70" t="s">
        <v>52</v>
      </c>
      <c r="M20" s="70" t="s">
        <v>52</v>
      </c>
      <c r="N20" s="70" t="s">
        <v>52</v>
      </c>
    </row>
    <row r="21" spans="1:16" ht="14.4" customHeight="1">
      <c r="B21" s="1"/>
      <c r="C21" s="1"/>
      <c r="D21" s="1"/>
      <c r="H21" s="77"/>
      <c r="I21" s="70"/>
      <c r="J21" s="70"/>
      <c r="K21" s="70"/>
      <c r="L21" s="70"/>
      <c r="M21" s="70"/>
      <c r="N21" s="70"/>
    </row>
    <row r="22" spans="1:16">
      <c r="B22" s="1"/>
      <c r="C22" s="1"/>
      <c r="D22" s="1"/>
      <c r="H22" s="77"/>
      <c r="I22" s="70"/>
      <c r="J22" s="70"/>
      <c r="K22" s="70"/>
      <c r="L22" s="70"/>
      <c r="M22" s="70"/>
      <c r="N22" s="70"/>
    </row>
    <row r="23" spans="1:16">
      <c r="B23" s="1"/>
      <c r="C23" s="1"/>
      <c r="D23" s="1"/>
      <c r="H23" s="77"/>
      <c r="I23" s="70"/>
      <c r="J23" s="70"/>
      <c r="K23" s="70"/>
      <c r="L23" s="70"/>
      <c r="M23" s="70"/>
      <c r="N23" s="70"/>
    </row>
    <row r="24" spans="1:16" ht="15" customHeight="1">
      <c r="B24" s="1"/>
      <c r="C24" s="1"/>
      <c r="D24" s="1"/>
      <c r="H24" s="76" t="s">
        <v>68</v>
      </c>
      <c r="I24" s="77" t="s">
        <v>65</v>
      </c>
      <c r="J24" s="77" t="s">
        <v>64</v>
      </c>
      <c r="K24" s="70" t="s">
        <v>52</v>
      </c>
      <c r="L24" s="70" t="s">
        <v>52</v>
      </c>
      <c r="M24" s="70" t="s">
        <v>52</v>
      </c>
      <c r="N24" s="70" t="s">
        <v>52</v>
      </c>
    </row>
    <row r="25" spans="1:16">
      <c r="B25" s="1"/>
      <c r="C25" s="1"/>
      <c r="D25" s="1"/>
      <c r="H25" s="70"/>
      <c r="I25" s="70"/>
      <c r="J25" s="70"/>
      <c r="K25" s="70"/>
      <c r="L25" s="70"/>
      <c r="M25" s="70"/>
      <c r="N25" s="70"/>
    </row>
    <row r="26" spans="1:16">
      <c r="B26" s="1"/>
      <c r="C26" s="1"/>
      <c r="D26" s="1"/>
      <c r="H26" s="70"/>
      <c r="I26" s="70"/>
      <c r="J26" s="70"/>
      <c r="K26" s="70"/>
      <c r="L26" s="70"/>
      <c r="M26" s="70"/>
      <c r="N26" s="70"/>
    </row>
    <row r="27" spans="1:16">
      <c r="B27" s="1"/>
      <c r="C27" s="1"/>
      <c r="D27" s="1"/>
      <c r="H27" s="70"/>
      <c r="I27" s="70"/>
      <c r="J27" s="70"/>
      <c r="K27" s="70"/>
      <c r="L27" s="70"/>
      <c r="M27" s="70"/>
      <c r="N27" s="70"/>
    </row>
    <row r="28" spans="1:16">
      <c r="B28" s="1"/>
      <c r="C28" s="1"/>
      <c r="D28" s="1"/>
      <c r="H28">
        <v>0.91</v>
      </c>
      <c r="I28">
        <v>0.75</v>
      </c>
      <c r="J28">
        <v>0.75</v>
      </c>
      <c r="K28">
        <v>0.85</v>
      </c>
      <c r="L28">
        <v>0.85</v>
      </c>
      <c r="M28">
        <v>0.85</v>
      </c>
      <c r="N28">
        <v>0.85</v>
      </c>
    </row>
    <row r="29" spans="1:16">
      <c r="B29" s="1"/>
      <c r="C29" s="1"/>
      <c r="D29" s="1"/>
      <c r="H29" s="71">
        <f>SUM(H28:N28)</f>
        <v>5.81</v>
      </c>
      <c r="I29" s="71"/>
      <c r="J29" s="71"/>
      <c r="K29" s="71"/>
      <c r="L29" s="71"/>
      <c r="M29" s="71"/>
      <c r="N29" s="71"/>
    </row>
    <row r="31" spans="1:16">
      <c r="A31">
        <v>2</v>
      </c>
      <c r="B31" s="1"/>
      <c r="C31" s="1"/>
      <c r="D31" s="1"/>
      <c r="N31" s="1"/>
      <c r="O31" s="37"/>
    </row>
    <row r="32" spans="1:16" ht="41.4">
      <c r="A32" s="38" t="s">
        <v>23</v>
      </c>
      <c r="B32" s="39" t="s">
        <v>24</v>
      </c>
      <c r="C32" s="39" t="s">
        <v>25</v>
      </c>
      <c r="D32" s="39" t="s">
        <v>26</v>
      </c>
      <c r="E32" s="38" t="s">
        <v>27</v>
      </c>
      <c r="F32" s="39" t="s">
        <v>28</v>
      </c>
      <c r="G32" s="39" t="s">
        <v>29</v>
      </c>
      <c r="H32" s="39" t="s">
        <v>30</v>
      </c>
      <c r="I32" s="39" t="s">
        <v>31</v>
      </c>
      <c r="J32" s="39" t="s">
        <v>32</v>
      </c>
      <c r="K32" s="39" t="s">
        <v>33</v>
      </c>
      <c r="L32" s="39" t="s">
        <v>34</v>
      </c>
      <c r="M32" s="39" t="s">
        <v>35</v>
      </c>
      <c r="N32" s="39" t="s">
        <v>36</v>
      </c>
      <c r="O32" s="40" t="s">
        <v>37</v>
      </c>
      <c r="P32" s="39" t="s">
        <v>38</v>
      </c>
    </row>
    <row r="33" spans="1:16" s="57" customFormat="1">
      <c r="A33" s="49"/>
      <c r="B33" s="44" t="s">
        <v>39</v>
      </c>
      <c r="C33" s="44" t="s">
        <v>40</v>
      </c>
      <c r="D33" s="44">
        <v>16.600000000000001</v>
      </c>
      <c r="E33" s="54">
        <v>36</v>
      </c>
      <c r="F33" s="52">
        <f>H33+G33</f>
        <v>609</v>
      </c>
      <c r="G33" s="52">
        <v>33</v>
      </c>
      <c r="H33" s="52">
        <v>576</v>
      </c>
      <c r="I33" s="52">
        <v>0.99</v>
      </c>
      <c r="J33" s="52">
        <v>0.85</v>
      </c>
      <c r="K33" s="52">
        <v>0.71</v>
      </c>
      <c r="L33" s="59">
        <f t="shared" ref="L33:L35" si="9">I33*J33*K33</f>
        <v>0.59746500000000002</v>
      </c>
      <c r="M33" s="63">
        <v>850</v>
      </c>
      <c r="N33" s="44">
        <f>M33/E33</f>
        <v>23.611111111111111</v>
      </c>
      <c r="O33" s="64">
        <f t="shared" ref="O33" si="10">N33*F33</f>
        <v>14379.166666666666</v>
      </c>
      <c r="P33" s="49">
        <f>N33*L33</f>
        <v>14.1068125</v>
      </c>
    </row>
    <row r="34" spans="1:16" s="57" customFormat="1" ht="15.6">
      <c r="A34" s="49"/>
      <c r="B34" s="44" t="s">
        <v>41</v>
      </c>
      <c r="C34" s="41" t="s">
        <v>42</v>
      </c>
      <c r="D34" s="50">
        <v>0.55000000000000004</v>
      </c>
      <c r="E34" s="46">
        <v>850</v>
      </c>
      <c r="F34" s="51">
        <v>517.5</v>
      </c>
      <c r="G34" s="54">
        <v>50</v>
      </c>
      <c r="H34" s="52">
        <f>E34*D34</f>
        <v>467.50000000000006</v>
      </c>
      <c r="I34" s="43">
        <v>1.0900000000000001</v>
      </c>
      <c r="J34" s="43">
        <v>1.02</v>
      </c>
      <c r="K34" s="43">
        <v>0.57999999999999996</v>
      </c>
      <c r="L34" s="53">
        <f t="shared" si="9"/>
        <v>0.64484399999999997</v>
      </c>
      <c r="M34" s="54">
        <f>$M$3*2</f>
        <v>1700</v>
      </c>
      <c r="N34" s="44">
        <f>M34/E34</f>
        <v>2</v>
      </c>
      <c r="O34" s="55">
        <f>N34*F34</f>
        <v>1035</v>
      </c>
      <c r="P34" s="56">
        <f t="shared" ref="P34:P35" si="11">L34*N34</f>
        <v>1.2896879999999999</v>
      </c>
    </row>
    <row r="35" spans="1:16" s="57" customFormat="1" ht="15.6">
      <c r="A35" s="49"/>
      <c r="B35" s="44" t="s">
        <v>41</v>
      </c>
      <c r="C35" s="41" t="s">
        <v>43</v>
      </c>
      <c r="D35" s="50">
        <v>0.104</v>
      </c>
      <c r="E35" s="46">
        <v>425</v>
      </c>
      <c r="F35" s="72">
        <v>785</v>
      </c>
      <c r="G35" s="72">
        <v>50</v>
      </c>
      <c r="H35" s="72">
        <v>734</v>
      </c>
      <c r="I35" s="73">
        <v>1.1000000000000001</v>
      </c>
      <c r="J35" s="73">
        <v>1.1000000000000001</v>
      </c>
      <c r="K35" s="73">
        <v>1.06</v>
      </c>
      <c r="L35" s="74">
        <f t="shared" si="9"/>
        <v>1.2826000000000002</v>
      </c>
      <c r="M35" s="54">
        <f>$M$3*1</f>
        <v>850</v>
      </c>
      <c r="N35" s="75">
        <f>M35/E35</f>
        <v>2</v>
      </c>
      <c r="O35" s="75">
        <f>N35*F35</f>
        <v>1570</v>
      </c>
      <c r="P35" s="75">
        <f t="shared" si="11"/>
        <v>2.5652000000000004</v>
      </c>
    </row>
    <row r="36" spans="1:16" s="57" customFormat="1" ht="15.6">
      <c r="A36" s="49"/>
      <c r="B36" s="44" t="s">
        <v>41</v>
      </c>
      <c r="C36" s="61" t="s">
        <v>69</v>
      </c>
      <c r="D36" s="62">
        <v>0.1</v>
      </c>
      <c r="E36" s="46">
        <v>850</v>
      </c>
      <c r="F36" s="72"/>
      <c r="G36" s="72"/>
      <c r="H36" s="72"/>
      <c r="I36" s="73"/>
      <c r="J36" s="73"/>
      <c r="K36" s="73"/>
      <c r="L36" s="74"/>
      <c r="M36" s="54">
        <v>1700</v>
      </c>
      <c r="N36" s="75"/>
      <c r="O36" s="75"/>
      <c r="P36" s="75"/>
    </row>
    <row r="37" spans="1:16" s="57" customFormat="1" ht="15.6">
      <c r="A37" s="44"/>
      <c r="B37" s="44" t="s">
        <v>41</v>
      </c>
      <c r="C37" s="41" t="s">
        <v>44</v>
      </c>
      <c r="D37" s="50">
        <v>1.425</v>
      </c>
      <c r="E37" s="46">
        <v>425</v>
      </c>
      <c r="F37" s="72"/>
      <c r="G37" s="72"/>
      <c r="H37" s="72"/>
      <c r="I37" s="73"/>
      <c r="J37" s="73"/>
      <c r="K37" s="73"/>
      <c r="L37" s="74"/>
      <c r="M37" s="54">
        <f>$M$3*1</f>
        <v>850</v>
      </c>
      <c r="N37" s="75"/>
      <c r="O37" s="75"/>
      <c r="P37" s="75"/>
    </row>
    <row r="38" spans="1:16" s="57" customFormat="1" ht="15.6">
      <c r="A38" s="44"/>
      <c r="B38" s="44" t="s">
        <v>41</v>
      </c>
      <c r="C38" s="41" t="s">
        <v>45</v>
      </c>
      <c r="D38" s="50">
        <v>0.307</v>
      </c>
      <c r="E38" s="46">
        <v>850</v>
      </c>
      <c r="F38" s="72">
        <v>497.1</v>
      </c>
      <c r="G38" s="75">
        <v>65</v>
      </c>
      <c r="H38" s="72">
        <v>447</v>
      </c>
      <c r="I38" s="73">
        <v>0.88</v>
      </c>
      <c r="J38" s="73">
        <v>0.8</v>
      </c>
      <c r="K38" s="73">
        <v>0.7</v>
      </c>
      <c r="L38" s="74">
        <f t="shared" ref="L38" si="12">I38*J38*K38</f>
        <v>0.49280000000000002</v>
      </c>
      <c r="M38" s="54">
        <f t="shared" ref="M38:M44" si="13">$M$3*2</f>
        <v>1700</v>
      </c>
      <c r="N38" s="75">
        <f>M38/E38</f>
        <v>2</v>
      </c>
      <c r="O38" s="79">
        <f t="shared" ref="O38" si="14">F38*N38</f>
        <v>994.2</v>
      </c>
      <c r="P38" s="80">
        <f t="shared" ref="P38" si="15">L38*N38</f>
        <v>0.98560000000000003</v>
      </c>
    </row>
    <row r="39" spans="1:16" s="57" customFormat="1" ht="15.6">
      <c r="A39" s="44"/>
      <c r="B39" s="44" t="s">
        <v>41</v>
      </c>
      <c r="C39" s="41" t="s">
        <v>46</v>
      </c>
      <c r="D39" s="50">
        <v>4.9000000000000002E-2</v>
      </c>
      <c r="E39" s="46">
        <v>850</v>
      </c>
      <c r="F39" s="72"/>
      <c r="G39" s="75"/>
      <c r="H39" s="72"/>
      <c r="I39" s="73"/>
      <c r="J39" s="73"/>
      <c r="K39" s="73"/>
      <c r="L39" s="74"/>
      <c r="M39" s="54">
        <f t="shared" si="13"/>
        <v>1700</v>
      </c>
      <c r="N39" s="75"/>
      <c r="O39" s="79"/>
      <c r="P39" s="80"/>
    </row>
    <row r="40" spans="1:16" s="57" customFormat="1" ht="15.6">
      <c r="A40" s="44"/>
      <c r="B40" s="44" t="s">
        <v>41</v>
      </c>
      <c r="C40" s="41" t="s">
        <v>47</v>
      </c>
      <c r="D40" s="50">
        <v>0.17</v>
      </c>
      <c r="E40" s="46">
        <v>850</v>
      </c>
      <c r="F40" s="72"/>
      <c r="G40" s="75"/>
      <c r="H40" s="72"/>
      <c r="I40" s="73"/>
      <c r="J40" s="73"/>
      <c r="K40" s="73"/>
      <c r="L40" s="74"/>
      <c r="M40" s="54">
        <f t="shared" si="13"/>
        <v>1700</v>
      </c>
      <c r="N40" s="75"/>
      <c r="O40" s="79"/>
      <c r="P40" s="80"/>
    </row>
    <row r="41" spans="1:16" s="57" customFormat="1" ht="27.6" customHeight="1">
      <c r="A41" s="49"/>
      <c r="B41" s="44" t="s">
        <v>41</v>
      </c>
      <c r="C41" s="58" t="s">
        <v>49</v>
      </c>
      <c r="D41" s="58">
        <v>1.1100000000000001</v>
      </c>
      <c r="E41" s="46">
        <v>425</v>
      </c>
      <c r="F41" s="46">
        <v>521.75</v>
      </c>
      <c r="G41" s="44">
        <v>40</v>
      </c>
      <c r="H41" s="51">
        <v>471.75</v>
      </c>
      <c r="I41" s="43">
        <v>1</v>
      </c>
      <c r="J41" s="43">
        <v>0.75</v>
      </c>
      <c r="K41" s="43">
        <v>0.7</v>
      </c>
      <c r="L41" s="53">
        <f t="shared" ref="L41" si="16">I41*J41*K41</f>
        <v>0.52499999999999991</v>
      </c>
      <c r="M41" s="54">
        <f t="shared" si="13"/>
        <v>1700</v>
      </c>
      <c r="N41" s="44">
        <f t="shared" ref="N41" si="17">M41/E41</f>
        <v>4</v>
      </c>
      <c r="O41" s="60">
        <f t="shared" ref="O41" si="18">N41*F41</f>
        <v>2087</v>
      </c>
      <c r="P41" s="56">
        <f t="shared" ref="P41" si="19">N41*L41</f>
        <v>2.0999999999999996</v>
      </c>
    </row>
    <row r="42" spans="1:16" s="57" customFormat="1">
      <c r="A42" s="49"/>
      <c r="B42" s="44" t="s">
        <v>41</v>
      </c>
      <c r="C42" s="41" t="s">
        <v>51</v>
      </c>
      <c r="D42" s="65">
        <v>3.2000000000000001E-2</v>
      </c>
      <c r="E42" s="46">
        <v>850</v>
      </c>
      <c r="F42" s="78">
        <v>565.95000000000005</v>
      </c>
      <c r="G42" s="78">
        <v>50</v>
      </c>
      <c r="H42" s="78">
        <v>516</v>
      </c>
      <c r="I42" s="73">
        <v>1</v>
      </c>
      <c r="J42" s="73">
        <v>0.75</v>
      </c>
      <c r="K42" s="73">
        <v>0.7</v>
      </c>
      <c r="L42" s="73">
        <f>K42*J42*I42</f>
        <v>0.52499999999999991</v>
      </c>
      <c r="M42" s="54">
        <f t="shared" si="13"/>
        <v>1700</v>
      </c>
      <c r="N42" s="78">
        <f>M42/E42</f>
        <v>2</v>
      </c>
      <c r="O42" s="78">
        <f>N42*F42</f>
        <v>1131.9000000000001</v>
      </c>
      <c r="P42" s="73">
        <f>N42*L42</f>
        <v>1.0499999999999998</v>
      </c>
    </row>
    <row r="43" spans="1:16" s="57" customFormat="1" ht="22.8" customHeight="1">
      <c r="A43" s="49"/>
      <c r="B43" s="44" t="s">
        <v>41</v>
      </c>
      <c r="C43" s="58" t="s">
        <v>48</v>
      </c>
      <c r="D43" s="65">
        <v>0.53</v>
      </c>
      <c r="E43" s="46">
        <v>850</v>
      </c>
      <c r="F43" s="78"/>
      <c r="G43" s="78"/>
      <c r="H43" s="78"/>
      <c r="I43" s="73"/>
      <c r="J43" s="73"/>
      <c r="K43" s="73"/>
      <c r="L43" s="73"/>
      <c r="M43" s="54">
        <f t="shared" si="13"/>
        <v>1700</v>
      </c>
      <c r="N43" s="78"/>
      <c r="O43" s="78"/>
      <c r="P43" s="73"/>
    </row>
    <row r="44" spans="1:16" s="57" customFormat="1">
      <c r="A44" s="49"/>
      <c r="B44" s="44" t="s">
        <v>41</v>
      </c>
      <c r="C44" s="41" t="s">
        <v>50</v>
      </c>
      <c r="D44" s="65">
        <v>4.4999999999999998E-2</v>
      </c>
      <c r="E44" s="46">
        <v>850</v>
      </c>
      <c r="F44" s="78"/>
      <c r="G44" s="78"/>
      <c r="H44" s="78"/>
      <c r="I44" s="73"/>
      <c r="J44" s="73"/>
      <c r="K44" s="73"/>
      <c r="L44" s="73"/>
      <c r="M44" s="54">
        <f t="shared" si="13"/>
        <v>1700</v>
      </c>
      <c r="N44" s="78"/>
      <c r="O44" s="78"/>
      <c r="P44" s="73"/>
    </row>
    <row r="45" spans="1:16">
      <c r="B45" s="1"/>
      <c r="C45" s="1"/>
      <c r="D45" s="1"/>
      <c r="F45" s="37"/>
      <c r="G45" s="37"/>
      <c r="H45" s="37"/>
      <c r="I45" s="37"/>
      <c r="J45" s="37"/>
      <c r="K45" s="37"/>
      <c r="L45" s="37"/>
      <c r="M45" s="37"/>
      <c r="N45" s="42">
        <f>SUM(N33:N44)</f>
        <v>35.611111111111114</v>
      </c>
      <c r="O45" s="42">
        <f>SUM(O33:O44)</f>
        <v>21197.266666666666</v>
      </c>
      <c r="P45" s="42">
        <f>SUM(P33:P44)</f>
        <v>22.097300499999999</v>
      </c>
    </row>
    <row r="46" spans="1:16">
      <c r="B46" s="1"/>
      <c r="C46" s="1"/>
      <c r="D46" s="1"/>
      <c r="F46" s="37"/>
      <c r="G46" s="37"/>
      <c r="H46" s="37"/>
      <c r="I46" s="37"/>
      <c r="J46" s="37"/>
      <c r="K46" s="37"/>
      <c r="L46" s="37"/>
      <c r="M46" s="37"/>
      <c r="N46" s="42"/>
      <c r="O46" s="42"/>
      <c r="P46" s="42"/>
    </row>
    <row r="47" spans="1:16">
      <c r="B47" s="1"/>
      <c r="C47" s="1"/>
      <c r="D47" s="1"/>
      <c r="H47" s="71">
        <f>SUM(H48:N48)</f>
        <v>5.37</v>
      </c>
      <c r="I47" s="71"/>
      <c r="J47" s="71"/>
      <c r="K47" s="71"/>
      <c r="L47" s="71"/>
      <c r="M47" s="71"/>
      <c r="N47" s="71"/>
    </row>
    <row r="48" spans="1:16">
      <c r="B48" s="1"/>
      <c r="C48" s="1"/>
      <c r="D48" s="1"/>
      <c r="I48">
        <v>1.02</v>
      </c>
      <c r="J48">
        <v>0.85</v>
      </c>
      <c r="K48" s="45">
        <v>0.95</v>
      </c>
      <c r="L48">
        <v>0.85</v>
      </c>
      <c r="M48">
        <v>0.85</v>
      </c>
      <c r="N48">
        <v>0.85</v>
      </c>
    </row>
    <row r="49" spans="1:16">
      <c r="B49" s="1"/>
      <c r="C49" s="1"/>
      <c r="D49" s="1"/>
      <c r="H49" s="76"/>
      <c r="I49" s="77" t="s">
        <v>66</v>
      </c>
      <c r="J49" s="70" t="s">
        <v>52</v>
      </c>
      <c r="K49" s="77" t="s">
        <v>67</v>
      </c>
      <c r="L49" s="70" t="s">
        <v>52</v>
      </c>
      <c r="M49" s="70" t="s">
        <v>52</v>
      </c>
      <c r="N49" s="70" t="s">
        <v>52</v>
      </c>
    </row>
    <row r="50" spans="1:16">
      <c r="B50" s="1"/>
      <c r="C50" s="1"/>
      <c r="D50" s="1"/>
      <c r="H50" s="70"/>
      <c r="I50" s="70"/>
      <c r="J50" s="70"/>
      <c r="K50" s="70"/>
      <c r="L50" s="70"/>
      <c r="M50" s="70"/>
      <c r="N50" s="70"/>
    </row>
    <row r="51" spans="1:16">
      <c r="B51" s="1"/>
      <c r="C51" s="1"/>
      <c r="D51" s="1"/>
      <c r="H51" s="70"/>
      <c r="I51" s="70"/>
      <c r="J51" s="70"/>
      <c r="K51" s="70"/>
      <c r="L51" s="70"/>
      <c r="M51" s="70"/>
      <c r="N51" s="70"/>
    </row>
    <row r="52" spans="1:16">
      <c r="B52" s="1"/>
      <c r="C52" s="1"/>
      <c r="D52" s="1"/>
      <c r="H52" s="70"/>
      <c r="I52" s="70"/>
      <c r="J52" s="70"/>
      <c r="K52" s="70"/>
      <c r="L52" s="70"/>
      <c r="M52" s="70"/>
      <c r="N52" s="70"/>
    </row>
    <row r="53" spans="1:16" ht="15" customHeight="1">
      <c r="B53" s="1"/>
      <c r="C53" s="1"/>
      <c r="D53" s="1"/>
      <c r="H53" s="77" t="s">
        <v>63</v>
      </c>
      <c r="I53" s="77" t="s">
        <v>65</v>
      </c>
      <c r="J53" s="77" t="s">
        <v>64</v>
      </c>
      <c r="K53" s="70" t="s">
        <v>52</v>
      </c>
      <c r="L53" s="70" t="s">
        <v>52</v>
      </c>
      <c r="M53" s="70" t="s">
        <v>52</v>
      </c>
      <c r="N53" s="70" t="s">
        <v>52</v>
      </c>
    </row>
    <row r="54" spans="1:16">
      <c r="B54" s="1"/>
      <c r="C54" s="1"/>
      <c r="D54" s="1"/>
      <c r="H54" s="70"/>
      <c r="I54" s="70"/>
      <c r="J54" s="70"/>
      <c r="K54" s="70"/>
      <c r="L54" s="70"/>
      <c r="M54" s="70"/>
      <c r="N54" s="70"/>
    </row>
    <row r="55" spans="1:16">
      <c r="B55" s="1"/>
      <c r="C55" s="1"/>
      <c r="D55" s="1"/>
      <c r="H55" s="70"/>
      <c r="I55" s="70"/>
      <c r="J55" s="70"/>
      <c r="K55" s="70"/>
      <c r="L55" s="70"/>
      <c r="M55" s="70"/>
      <c r="N55" s="70"/>
    </row>
    <row r="56" spans="1:16">
      <c r="B56" s="1"/>
      <c r="C56" s="1"/>
      <c r="D56" s="1"/>
      <c r="H56" s="70"/>
      <c r="I56" s="70"/>
      <c r="J56" s="70"/>
      <c r="K56" s="70"/>
      <c r="L56" s="70"/>
      <c r="M56" s="70"/>
      <c r="N56" s="70"/>
    </row>
    <row r="57" spans="1:16">
      <c r="B57" s="1"/>
      <c r="C57" s="1"/>
      <c r="D57" s="1"/>
      <c r="H57">
        <v>0.8</v>
      </c>
      <c r="I57">
        <v>0.75</v>
      </c>
      <c r="J57">
        <v>0.75</v>
      </c>
      <c r="K57">
        <v>0.85</v>
      </c>
      <c r="L57">
        <v>0.85</v>
      </c>
      <c r="M57">
        <v>0.85</v>
      </c>
      <c r="N57">
        <v>0.85</v>
      </c>
    </row>
    <row r="58" spans="1:16">
      <c r="B58" s="1"/>
      <c r="C58" s="1"/>
      <c r="D58" s="1"/>
      <c r="H58" s="71">
        <f>SUM(H57:N57)</f>
        <v>5.6999999999999993</v>
      </c>
      <c r="I58" s="71"/>
      <c r="J58" s="71"/>
      <c r="K58" s="71"/>
      <c r="L58" s="71"/>
      <c r="M58" s="71"/>
      <c r="N58" s="71"/>
    </row>
    <row r="61" spans="1:16">
      <c r="A61">
        <v>3</v>
      </c>
      <c r="B61" s="1"/>
      <c r="C61" s="1"/>
      <c r="D61" s="1"/>
      <c r="N61" s="1"/>
      <c r="O61" s="37"/>
    </row>
    <row r="62" spans="1:16" ht="41.4">
      <c r="A62" s="38" t="s">
        <v>23</v>
      </c>
      <c r="B62" s="39" t="s">
        <v>24</v>
      </c>
      <c r="C62" s="39" t="s">
        <v>25</v>
      </c>
      <c r="D62" s="39" t="s">
        <v>26</v>
      </c>
      <c r="E62" s="38" t="s">
        <v>27</v>
      </c>
      <c r="F62" s="39" t="s">
        <v>28</v>
      </c>
      <c r="G62" s="39" t="s">
        <v>29</v>
      </c>
      <c r="H62" s="39" t="s">
        <v>30</v>
      </c>
      <c r="I62" s="39" t="s">
        <v>31</v>
      </c>
      <c r="J62" s="39" t="s">
        <v>32</v>
      </c>
      <c r="K62" s="39" t="s">
        <v>33</v>
      </c>
      <c r="L62" s="39" t="s">
        <v>34</v>
      </c>
      <c r="M62" s="39" t="s">
        <v>35</v>
      </c>
      <c r="N62" s="39" t="s">
        <v>36</v>
      </c>
      <c r="O62" s="40" t="s">
        <v>37</v>
      </c>
      <c r="P62" s="39" t="s">
        <v>38</v>
      </c>
    </row>
    <row r="63" spans="1:16" s="57" customFormat="1">
      <c r="A63" s="49"/>
      <c r="B63" s="44" t="s">
        <v>39</v>
      </c>
      <c r="C63" s="44" t="s">
        <v>55</v>
      </c>
      <c r="D63" s="44">
        <v>13.5</v>
      </c>
      <c r="E63" s="54">
        <v>60</v>
      </c>
      <c r="F63" s="52">
        <v>866</v>
      </c>
      <c r="G63" s="52">
        <v>56</v>
      </c>
      <c r="H63" s="52">
        <f>E63*D63</f>
        <v>810</v>
      </c>
      <c r="I63" s="52">
        <v>1.19</v>
      </c>
      <c r="J63" s="52">
        <v>0.87</v>
      </c>
      <c r="K63" s="52">
        <v>0.67</v>
      </c>
      <c r="L63" s="59">
        <f t="shared" ref="L63:L65" si="20">I63*J63*K63</f>
        <v>0.69365100000000002</v>
      </c>
      <c r="M63" s="63">
        <v>1200</v>
      </c>
      <c r="N63" s="44">
        <f>M63/E63</f>
        <v>20</v>
      </c>
      <c r="O63" s="64">
        <f t="shared" ref="O63" si="21">N63*F63</f>
        <v>17320</v>
      </c>
      <c r="P63" s="49">
        <f>N63*L63</f>
        <v>13.87302</v>
      </c>
    </row>
    <row r="64" spans="1:16" s="57" customFormat="1" ht="15.6">
      <c r="A64" s="49"/>
      <c r="B64" s="44" t="s">
        <v>41</v>
      </c>
      <c r="C64" s="41" t="s">
        <v>42</v>
      </c>
      <c r="D64" s="50">
        <v>0.55000000000000004</v>
      </c>
      <c r="E64" s="44">
        <v>1200</v>
      </c>
      <c r="F64" s="51">
        <v>710</v>
      </c>
      <c r="G64" s="44">
        <v>50</v>
      </c>
      <c r="H64" s="52">
        <f>E64*D64</f>
        <v>660</v>
      </c>
      <c r="I64" s="48">
        <v>1.0900000000000001</v>
      </c>
      <c r="J64" s="48">
        <v>1.02</v>
      </c>
      <c r="K64" s="48">
        <v>0.73</v>
      </c>
      <c r="L64" s="53">
        <f t="shared" si="20"/>
        <v>0.81161400000000006</v>
      </c>
      <c r="M64" s="54">
        <f>$M$63*2</f>
        <v>2400</v>
      </c>
      <c r="N64" s="44">
        <f>M64/E64</f>
        <v>2</v>
      </c>
      <c r="O64" s="55">
        <f>N64*F64</f>
        <v>1420</v>
      </c>
      <c r="P64" s="56">
        <f t="shared" ref="P64" si="22">L64*N64</f>
        <v>1.6232280000000001</v>
      </c>
    </row>
    <row r="65" spans="1:16" s="57" customFormat="1" ht="15.6">
      <c r="A65" s="49"/>
      <c r="B65" s="44" t="s">
        <v>41</v>
      </c>
      <c r="C65" s="41" t="s">
        <v>56</v>
      </c>
      <c r="D65" s="50">
        <v>0.13700000000000001</v>
      </c>
      <c r="E65" s="46">
        <v>600</v>
      </c>
      <c r="F65" s="72">
        <v>848</v>
      </c>
      <c r="G65" s="72">
        <v>50</v>
      </c>
      <c r="H65" s="50">
        <v>82.2</v>
      </c>
      <c r="I65" s="73">
        <v>0.95</v>
      </c>
      <c r="J65" s="73">
        <v>0.97</v>
      </c>
      <c r="K65" s="73">
        <v>1.1000000000000001</v>
      </c>
      <c r="L65" s="74">
        <f t="shared" si="20"/>
        <v>1.0136500000000002</v>
      </c>
      <c r="M65" s="54">
        <f>$M$63*1</f>
        <v>1200</v>
      </c>
      <c r="N65" s="75">
        <f>M65/E65</f>
        <v>2</v>
      </c>
      <c r="O65" s="75">
        <f>N65*F65</f>
        <v>1696</v>
      </c>
      <c r="P65" s="75">
        <f t="shared" ref="P65" si="23">L65*N65</f>
        <v>2.0273000000000003</v>
      </c>
    </row>
    <row r="66" spans="1:16" s="57" customFormat="1" ht="15.6">
      <c r="A66" s="49"/>
      <c r="B66" s="44" t="s">
        <v>41</v>
      </c>
      <c r="C66" s="61" t="s">
        <v>69</v>
      </c>
      <c r="D66" s="50">
        <v>0.1</v>
      </c>
      <c r="E66" s="46">
        <v>1200</v>
      </c>
      <c r="F66" s="72"/>
      <c r="G66" s="72"/>
      <c r="H66" s="66">
        <v>120</v>
      </c>
      <c r="I66" s="73"/>
      <c r="J66" s="73"/>
      <c r="K66" s="73"/>
      <c r="L66" s="74"/>
      <c r="M66" s="54">
        <v>2400</v>
      </c>
      <c r="N66" s="75"/>
      <c r="O66" s="75"/>
      <c r="P66" s="75"/>
    </row>
    <row r="67" spans="1:16" s="57" customFormat="1" ht="15.6">
      <c r="A67" s="44"/>
      <c r="B67" s="44" t="s">
        <v>41</v>
      </c>
      <c r="C67" s="41" t="s">
        <v>57</v>
      </c>
      <c r="D67" s="50">
        <v>0.99360000000000004</v>
      </c>
      <c r="E67" s="46">
        <v>600</v>
      </c>
      <c r="F67" s="72"/>
      <c r="G67" s="72"/>
      <c r="H67" s="50">
        <v>596.16</v>
      </c>
      <c r="I67" s="73"/>
      <c r="J67" s="73"/>
      <c r="K67" s="73"/>
      <c r="L67" s="74"/>
      <c r="M67" s="54">
        <f>$M$63*1</f>
        <v>1200</v>
      </c>
      <c r="N67" s="75"/>
      <c r="O67" s="75"/>
      <c r="P67" s="75"/>
    </row>
    <row r="68" spans="1:16" s="57" customFormat="1" ht="15.6">
      <c r="A68" s="44"/>
      <c r="B68" s="44" t="s">
        <v>41</v>
      </c>
      <c r="C68" s="41" t="s">
        <v>45</v>
      </c>
      <c r="D68" s="50">
        <v>0.307</v>
      </c>
      <c r="E68" s="46">
        <v>1200</v>
      </c>
      <c r="F68" s="72">
        <v>681</v>
      </c>
      <c r="G68" s="75">
        <v>50</v>
      </c>
      <c r="H68" s="72">
        <v>631</v>
      </c>
      <c r="I68" s="73">
        <v>1</v>
      </c>
      <c r="J68" s="73">
        <v>0.75</v>
      </c>
      <c r="K68" s="73">
        <v>0.7</v>
      </c>
      <c r="L68" s="74">
        <f t="shared" ref="L68" si="24">I68*J68*K68</f>
        <v>0.52499999999999991</v>
      </c>
      <c r="M68" s="54">
        <f>$M$63*2</f>
        <v>2400</v>
      </c>
      <c r="N68" s="75">
        <f>M68/E68</f>
        <v>2</v>
      </c>
      <c r="O68" s="79">
        <f t="shared" ref="O68" si="25">F68*N68</f>
        <v>1362</v>
      </c>
      <c r="P68" s="80">
        <f t="shared" ref="P68" si="26">L68*N68</f>
        <v>1.0499999999999998</v>
      </c>
    </row>
    <row r="69" spans="1:16" s="57" customFormat="1" ht="15.6">
      <c r="A69" s="44"/>
      <c r="B69" s="44" t="s">
        <v>41</v>
      </c>
      <c r="C69" s="41" t="s">
        <v>46</v>
      </c>
      <c r="D69" s="50">
        <v>4.9000000000000002E-2</v>
      </c>
      <c r="E69" s="46">
        <v>1200</v>
      </c>
      <c r="F69" s="72"/>
      <c r="G69" s="75"/>
      <c r="H69" s="72"/>
      <c r="I69" s="73"/>
      <c r="J69" s="73"/>
      <c r="K69" s="73"/>
      <c r="L69" s="74"/>
      <c r="M69" s="54">
        <f>$M$63*2</f>
        <v>2400</v>
      </c>
      <c r="N69" s="75"/>
      <c r="O69" s="79"/>
      <c r="P69" s="80"/>
    </row>
    <row r="70" spans="1:16" s="57" customFormat="1" ht="15.6">
      <c r="A70" s="44"/>
      <c r="B70" s="44" t="s">
        <v>41</v>
      </c>
      <c r="C70" s="41" t="s">
        <v>47</v>
      </c>
      <c r="D70" s="50">
        <v>0.17</v>
      </c>
      <c r="E70" s="46">
        <v>1200</v>
      </c>
      <c r="F70" s="72"/>
      <c r="G70" s="75"/>
      <c r="H70" s="72"/>
      <c r="I70" s="73"/>
      <c r="J70" s="73"/>
      <c r="K70" s="73"/>
      <c r="L70" s="74"/>
      <c r="M70" s="54">
        <f>$M$63*2</f>
        <v>2400</v>
      </c>
      <c r="N70" s="75"/>
      <c r="O70" s="79"/>
      <c r="P70" s="80"/>
    </row>
    <row r="71" spans="1:16" s="57" customFormat="1">
      <c r="B71" s="57" t="s">
        <v>58</v>
      </c>
      <c r="C71" s="47" t="s">
        <v>59</v>
      </c>
      <c r="D71" s="58"/>
      <c r="E71" s="44">
        <v>600</v>
      </c>
      <c r="F71" s="67">
        <v>720</v>
      </c>
      <c r="G71" s="44">
        <v>50</v>
      </c>
      <c r="H71" s="67">
        <v>680</v>
      </c>
      <c r="I71" s="44">
        <v>1.1000000000000001</v>
      </c>
      <c r="J71" s="44">
        <v>0.8</v>
      </c>
      <c r="K71" s="44">
        <v>0.55000000000000004</v>
      </c>
      <c r="L71" s="68">
        <f t="shared" ref="L71" si="27">I71*J71*K71</f>
        <v>0.4840000000000001</v>
      </c>
      <c r="M71" s="54">
        <v>1800</v>
      </c>
      <c r="N71" s="44">
        <f t="shared" ref="N71" si="28">M71/E71</f>
        <v>3</v>
      </c>
      <c r="O71" s="60">
        <f t="shared" ref="O71" si="29">N71*F71</f>
        <v>2160</v>
      </c>
      <c r="P71" s="56">
        <f>N71*L71</f>
        <v>1.4520000000000004</v>
      </c>
    </row>
    <row r="72" spans="1:16" s="57" customFormat="1">
      <c r="A72" s="49"/>
      <c r="B72" s="49" t="s">
        <v>58</v>
      </c>
      <c r="C72" s="47" t="s">
        <v>59</v>
      </c>
      <c r="D72" s="58"/>
      <c r="E72" s="44">
        <v>600</v>
      </c>
      <c r="F72" s="67">
        <v>720</v>
      </c>
      <c r="G72" s="44">
        <v>50</v>
      </c>
      <c r="H72" s="67">
        <v>680</v>
      </c>
      <c r="I72" s="44">
        <v>1.1000000000000001</v>
      </c>
      <c r="J72" s="44">
        <v>0.8</v>
      </c>
      <c r="K72" s="44">
        <v>0.55000000000000004</v>
      </c>
      <c r="L72" s="59">
        <f t="shared" ref="L72" si="30">I72*J72*K72</f>
        <v>0.4840000000000001</v>
      </c>
      <c r="M72" s="54">
        <f>$M$63*2</f>
        <v>2400</v>
      </c>
      <c r="N72" s="44">
        <f t="shared" ref="N72" si="31">M72/E72</f>
        <v>4</v>
      </c>
      <c r="O72" s="60">
        <f t="shared" ref="O72" si="32">N72*F72</f>
        <v>2880</v>
      </c>
      <c r="P72" s="56">
        <f t="shared" ref="P72" si="33">N72*L72</f>
        <v>1.9360000000000004</v>
      </c>
    </row>
    <row r="73" spans="1:16">
      <c r="B73" s="1"/>
      <c r="C73" s="1"/>
      <c r="D73" s="1"/>
      <c r="F73" s="37"/>
      <c r="G73" s="37"/>
      <c r="H73" s="37"/>
      <c r="I73" s="37"/>
      <c r="J73" s="37"/>
      <c r="K73" s="37"/>
      <c r="L73" s="37"/>
      <c r="M73" s="37"/>
      <c r="N73" s="42">
        <f>SUM(N63:N72)</f>
        <v>33</v>
      </c>
      <c r="O73" s="42">
        <f>SUM(O63:O72)</f>
        <v>26838</v>
      </c>
      <c r="P73" s="42">
        <f>SUM(P63:P72)</f>
        <v>21.961548000000004</v>
      </c>
    </row>
    <row r="74" spans="1:16">
      <c r="B74" s="1"/>
      <c r="C74" s="1"/>
      <c r="D74" s="1"/>
      <c r="I74" s="71">
        <f>SUM(I75:N75)</f>
        <v>4.43</v>
      </c>
      <c r="J74" s="71"/>
      <c r="K74" s="71"/>
      <c r="L74" s="71"/>
      <c r="M74" s="71"/>
      <c r="N74" s="71"/>
    </row>
    <row r="75" spans="1:16">
      <c r="B75" s="1"/>
      <c r="C75" s="1"/>
      <c r="D75" s="1"/>
      <c r="J75">
        <v>0.95</v>
      </c>
      <c r="K75">
        <v>0.87</v>
      </c>
      <c r="L75">
        <v>0.87</v>
      </c>
      <c r="M75">
        <v>0.87</v>
      </c>
      <c r="N75">
        <v>0.87</v>
      </c>
    </row>
    <row r="76" spans="1:16">
      <c r="B76" s="1"/>
      <c r="C76" s="1"/>
      <c r="D76" s="1"/>
      <c r="I76" s="70"/>
      <c r="J76" s="77" t="s">
        <v>54</v>
      </c>
      <c r="K76" s="77" t="s">
        <v>62</v>
      </c>
      <c r="L76" s="70" t="s">
        <v>60</v>
      </c>
      <c r="M76" s="70" t="s">
        <v>60</v>
      </c>
      <c r="N76" s="70" t="s">
        <v>60</v>
      </c>
    </row>
    <row r="77" spans="1:16">
      <c r="B77" s="1"/>
      <c r="C77" s="1"/>
      <c r="D77" s="1"/>
      <c r="I77" s="70"/>
      <c r="J77" s="70"/>
      <c r="K77" s="70"/>
      <c r="L77" s="70"/>
      <c r="M77" s="70"/>
      <c r="N77" s="70"/>
    </row>
    <row r="78" spans="1:16">
      <c r="B78" s="1"/>
      <c r="C78" s="1"/>
      <c r="D78" s="1"/>
      <c r="I78" s="70"/>
      <c r="J78" s="70"/>
      <c r="K78" s="70"/>
      <c r="L78" s="70"/>
      <c r="M78" s="70"/>
      <c r="N78" s="70"/>
    </row>
    <row r="79" spans="1:16">
      <c r="B79" s="1"/>
      <c r="C79" s="1"/>
      <c r="D79" s="1"/>
      <c r="I79" s="70"/>
      <c r="J79" s="70"/>
      <c r="K79" s="70"/>
      <c r="L79" s="70"/>
      <c r="M79" s="70"/>
      <c r="N79" s="70"/>
    </row>
    <row r="80" spans="1:16" ht="22.2" customHeight="1">
      <c r="B80" s="1"/>
      <c r="C80" s="1"/>
      <c r="D80" s="1"/>
      <c r="I80" s="70"/>
      <c r="J80" s="77" t="s">
        <v>53</v>
      </c>
      <c r="K80" s="77" t="s">
        <v>61</v>
      </c>
      <c r="L80" s="70" t="s">
        <v>60</v>
      </c>
      <c r="M80" s="70" t="s">
        <v>60</v>
      </c>
      <c r="N80" s="70" t="s">
        <v>60</v>
      </c>
    </row>
    <row r="81" spans="1:16">
      <c r="B81" s="1"/>
      <c r="C81" s="1"/>
      <c r="D81" s="1"/>
      <c r="I81" s="70"/>
      <c r="J81" s="70"/>
      <c r="K81" s="70"/>
      <c r="L81" s="70"/>
      <c r="M81" s="70"/>
      <c r="N81" s="70"/>
    </row>
    <row r="82" spans="1:16">
      <c r="B82" s="1"/>
      <c r="C82" s="1"/>
      <c r="D82" s="1"/>
      <c r="I82" s="70"/>
      <c r="J82" s="70"/>
      <c r="K82" s="70"/>
      <c r="L82" s="70"/>
      <c r="M82" s="70"/>
      <c r="N82" s="70"/>
    </row>
    <row r="83" spans="1:16">
      <c r="B83" s="1"/>
      <c r="C83" s="1"/>
      <c r="D83" s="1"/>
      <c r="I83" s="70"/>
      <c r="J83" s="70"/>
      <c r="K83" s="70"/>
      <c r="L83" s="70"/>
      <c r="M83" s="70"/>
      <c r="N83" s="70"/>
    </row>
    <row r="84" spans="1:16">
      <c r="B84" s="1"/>
      <c r="C84" s="1"/>
      <c r="D84" s="1"/>
      <c r="J84">
        <v>0.8</v>
      </c>
      <c r="K84">
        <v>1.02</v>
      </c>
      <c r="L84">
        <v>0.87</v>
      </c>
      <c r="M84">
        <v>0.87</v>
      </c>
      <c r="N84">
        <v>0.87</v>
      </c>
    </row>
    <row r="85" spans="1:16">
      <c r="B85" s="1"/>
      <c r="C85" s="1"/>
      <c r="D85" s="1"/>
      <c r="I85" s="71">
        <f>SUM(I84:N84)</f>
        <v>4.43</v>
      </c>
      <c r="J85" s="71"/>
      <c r="K85" s="71"/>
      <c r="L85" s="71"/>
      <c r="M85" s="71"/>
      <c r="N85" s="71"/>
    </row>
    <row r="86" spans="1:16">
      <c r="B86" s="1"/>
      <c r="C86" s="1"/>
      <c r="D86" s="1"/>
    </row>
    <row r="89" spans="1:16">
      <c r="A89">
        <v>4</v>
      </c>
      <c r="B89" s="1"/>
      <c r="C89" s="1"/>
      <c r="D89" s="1"/>
      <c r="N89" s="1"/>
      <c r="O89" s="37"/>
    </row>
    <row r="90" spans="1:16" ht="41.4">
      <c r="A90" s="38" t="s">
        <v>23</v>
      </c>
      <c r="B90" s="39" t="s">
        <v>24</v>
      </c>
      <c r="C90" s="39" t="s">
        <v>25</v>
      </c>
      <c r="D90" s="39" t="s">
        <v>26</v>
      </c>
      <c r="E90" s="38" t="s">
        <v>27</v>
      </c>
      <c r="F90" s="39" t="s">
        <v>28</v>
      </c>
      <c r="G90" s="39" t="s">
        <v>29</v>
      </c>
      <c r="H90" s="39" t="s">
        <v>30</v>
      </c>
      <c r="I90" s="39" t="s">
        <v>31</v>
      </c>
      <c r="J90" s="39" t="s">
        <v>32</v>
      </c>
      <c r="K90" s="39" t="s">
        <v>33</v>
      </c>
      <c r="L90" s="39" t="s">
        <v>34</v>
      </c>
      <c r="M90" s="39" t="s">
        <v>35</v>
      </c>
      <c r="N90" s="39" t="s">
        <v>36</v>
      </c>
      <c r="O90" s="40" t="s">
        <v>37</v>
      </c>
      <c r="P90" s="39" t="s">
        <v>38</v>
      </c>
    </row>
    <row r="91" spans="1:16" s="57" customFormat="1">
      <c r="A91" s="49"/>
      <c r="B91" s="44" t="s">
        <v>39</v>
      </c>
      <c r="C91" s="44" t="s">
        <v>55</v>
      </c>
      <c r="D91" s="44">
        <v>13.5</v>
      </c>
      <c r="E91" s="54">
        <v>60</v>
      </c>
      <c r="F91" s="52">
        <v>866</v>
      </c>
      <c r="G91" s="52">
        <v>56</v>
      </c>
      <c r="H91" s="52">
        <f>E91*D91</f>
        <v>810</v>
      </c>
      <c r="I91" s="52">
        <v>1.19</v>
      </c>
      <c r="J91" s="52">
        <v>0.87</v>
      </c>
      <c r="K91" s="52">
        <v>0.67</v>
      </c>
      <c r="L91" s="59">
        <f t="shared" ref="L91:L93" si="34">I91*J91*K91</f>
        <v>0.69365100000000002</v>
      </c>
      <c r="M91" s="63">
        <v>1200</v>
      </c>
      <c r="N91" s="44">
        <f>M91/E91</f>
        <v>20</v>
      </c>
      <c r="O91" s="64">
        <f t="shared" ref="O91" si="35">N91*F91</f>
        <v>17320</v>
      </c>
      <c r="P91" s="49">
        <f>N91*L91</f>
        <v>13.87302</v>
      </c>
    </row>
    <row r="92" spans="1:16" s="57" customFormat="1" ht="15.6">
      <c r="A92" s="49"/>
      <c r="B92" s="44" t="s">
        <v>41</v>
      </c>
      <c r="C92" s="41" t="s">
        <v>42</v>
      </c>
      <c r="D92" s="50">
        <v>0.55000000000000004</v>
      </c>
      <c r="E92" s="44">
        <v>1200</v>
      </c>
      <c r="F92" s="51">
        <v>710</v>
      </c>
      <c r="G92" s="44">
        <v>50</v>
      </c>
      <c r="H92" s="52">
        <f>E92*D92</f>
        <v>660</v>
      </c>
      <c r="I92" s="48">
        <v>1.0900000000000001</v>
      </c>
      <c r="J92" s="48">
        <v>1.02</v>
      </c>
      <c r="K92" s="48">
        <v>0.73</v>
      </c>
      <c r="L92" s="53">
        <f t="shared" si="34"/>
        <v>0.81161400000000006</v>
      </c>
      <c r="M92" s="54">
        <f>$M$63*2</f>
        <v>2400</v>
      </c>
      <c r="N92" s="44">
        <f>M92/E92</f>
        <v>2</v>
      </c>
      <c r="O92" s="55">
        <f>N92*F92</f>
        <v>1420</v>
      </c>
      <c r="P92" s="56">
        <f t="shared" ref="P92:P93" si="36">L92*N92</f>
        <v>1.6232280000000001</v>
      </c>
    </row>
    <row r="93" spans="1:16" s="57" customFormat="1" ht="15.6">
      <c r="A93" s="49"/>
      <c r="B93" s="44" t="s">
        <v>41</v>
      </c>
      <c r="C93" s="41" t="s">
        <v>56</v>
      </c>
      <c r="D93" s="50">
        <v>0.13700000000000001</v>
      </c>
      <c r="E93" s="46">
        <v>600</v>
      </c>
      <c r="F93" s="72">
        <v>848</v>
      </c>
      <c r="G93" s="72">
        <v>50</v>
      </c>
      <c r="H93" s="50">
        <v>82.2</v>
      </c>
      <c r="I93" s="73">
        <v>0.95</v>
      </c>
      <c r="J93" s="73">
        <v>0.97</v>
      </c>
      <c r="K93" s="73">
        <v>1.1000000000000001</v>
      </c>
      <c r="L93" s="74">
        <f t="shared" si="34"/>
        <v>1.0136500000000002</v>
      </c>
      <c r="M93" s="54">
        <f>$M$63*1</f>
        <v>1200</v>
      </c>
      <c r="N93" s="75">
        <f>M93/E93</f>
        <v>2</v>
      </c>
      <c r="O93" s="75">
        <f>N93*F93</f>
        <v>1696</v>
      </c>
      <c r="P93" s="75">
        <f t="shared" si="36"/>
        <v>2.0273000000000003</v>
      </c>
    </row>
    <row r="94" spans="1:16" s="57" customFormat="1" ht="15.6">
      <c r="A94" s="49"/>
      <c r="B94" s="44" t="s">
        <v>41</v>
      </c>
      <c r="C94" s="61" t="s">
        <v>69</v>
      </c>
      <c r="D94" s="50">
        <v>0.1</v>
      </c>
      <c r="E94" s="46">
        <v>1200</v>
      </c>
      <c r="F94" s="72"/>
      <c r="G94" s="72"/>
      <c r="H94" s="66">
        <v>120</v>
      </c>
      <c r="I94" s="73"/>
      <c r="J94" s="73"/>
      <c r="K94" s="73"/>
      <c r="L94" s="74"/>
      <c r="M94" s="54">
        <v>2400</v>
      </c>
      <c r="N94" s="75"/>
      <c r="O94" s="75"/>
      <c r="P94" s="75"/>
    </row>
    <row r="95" spans="1:16" s="57" customFormat="1" ht="15.6">
      <c r="A95" s="44"/>
      <c r="B95" s="44" t="s">
        <v>41</v>
      </c>
      <c r="C95" s="41" t="s">
        <v>57</v>
      </c>
      <c r="D95" s="50">
        <v>0.99360000000000004</v>
      </c>
      <c r="E95" s="46">
        <v>600</v>
      </c>
      <c r="F95" s="72"/>
      <c r="G95" s="72"/>
      <c r="H95" s="50">
        <v>596.16</v>
      </c>
      <c r="I95" s="73"/>
      <c r="J95" s="73"/>
      <c r="K95" s="73"/>
      <c r="L95" s="74"/>
      <c r="M95" s="54">
        <f>$M$63*1</f>
        <v>1200</v>
      </c>
      <c r="N95" s="75"/>
      <c r="O95" s="75"/>
      <c r="P95" s="75"/>
    </row>
    <row r="96" spans="1:16" s="57" customFormat="1" ht="15.6">
      <c r="A96" s="44"/>
      <c r="B96" s="44" t="s">
        <v>41</v>
      </c>
      <c r="C96" s="41" t="s">
        <v>45</v>
      </c>
      <c r="D96" s="50">
        <v>0.307</v>
      </c>
      <c r="E96" s="46">
        <v>1200</v>
      </c>
      <c r="F96" s="72">
        <v>681</v>
      </c>
      <c r="G96" s="75">
        <v>50</v>
      </c>
      <c r="H96" s="72">
        <v>631</v>
      </c>
      <c r="I96" s="73">
        <v>1</v>
      </c>
      <c r="J96" s="73">
        <v>0.75</v>
      </c>
      <c r="K96" s="73">
        <v>0.7</v>
      </c>
      <c r="L96" s="74">
        <f t="shared" ref="L96" si="37">I96*J96*K96</f>
        <v>0.52499999999999991</v>
      </c>
      <c r="M96" s="54">
        <f>$M$63*2</f>
        <v>2400</v>
      </c>
      <c r="N96" s="75">
        <f>M96/E96</f>
        <v>2</v>
      </c>
      <c r="O96" s="79">
        <f t="shared" ref="O96" si="38">F96*N96</f>
        <v>1362</v>
      </c>
      <c r="P96" s="80">
        <f t="shared" ref="P96" si="39">L96*N96</f>
        <v>1.0499999999999998</v>
      </c>
    </row>
    <row r="97" spans="1:16" s="57" customFormat="1" ht="15.6">
      <c r="A97" s="44"/>
      <c r="B97" s="44" t="s">
        <v>41</v>
      </c>
      <c r="C97" s="41" t="s">
        <v>46</v>
      </c>
      <c r="D97" s="50">
        <v>4.9000000000000002E-2</v>
      </c>
      <c r="E97" s="46">
        <v>1200</v>
      </c>
      <c r="F97" s="72"/>
      <c r="G97" s="75"/>
      <c r="H97" s="72"/>
      <c r="I97" s="73"/>
      <c r="J97" s="73"/>
      <c r="K97" s="73"/>
      <c r="L97" s="74"/>
      <c r="M97" s="54">
        <f>$M$63*2</f>
        <v>2400</v>
      </c>
      <c r="N97" s="75"/>
      <c r="O97" s="79"/>
      <c r="P97" s="80"/>
    </row>
    <row r="98" spans="1:16" s="57" customFormat="1" ht="15.6">
      <c r="A98" s="44"/>
      <c r="B98" s="44" t="s">
        <v>41</v>
      </c>
      <c r="C98" s="41" t="s">
        <v>47</v>
      </c>
      <c r="D98" s="50">
        <v>0.17</v>
      </c>
      <c r="E98" s="46">
        <v>1200</v>
      </c>
      <c r="F98" s="72"/>
      <c r="G98" s="75"/>
      <c r="H98" s="72"/>
      <c r="I98" s="73"/>
      <c r="J98" s="73"/>
      <c r="K98" s="73"/>
      <c r="L98" s="74"/>
      <c r="M98" s="54">
        <f>$M$63*2</f>
        <v>2400</v>
      </c>
      <c r="N98" s="75"/>
      <c r="O98" s="79"/>
      <c r="P98" s="80"/>
    </row>
    <row r="99" spans="1:16" s="57" customFormat="1">
      <c r="B99" s="57" t="s">
        <v>58</v>
      </c>
      <c r="C99" s="47" t="s">
        <v>59</v>
      </c>
      <c r="D99" s="58"/>
      <c r="E99" s="44">
        <v>600</v>
      </c>
      <c r="F99" s="67">
        <v>720</v>
      </c>
      <c r="G99" s="44">
        <v>50</v>
      </c>
      <c r="H99" s="67">
        <v>680</v>
      </c>
      <c r="I99" s="44">
        <v>1.1000000000000001</v>
      </c>
      <c r="J99" s="44">
        <v>0.8</v>
      </c>
      <c r="K99" s="44">
        <v>0.55000000000000004</v>
      </c>
      <c r="L99" s="68">
        <f t="shared" ref="L99:L100" si="40">I99*J99*K99</f>
        <v>0.4840000000000001</v>
      </c>
      <c r="M99" s="54">
        <v>1200</v>
      </c>
      <c r="N99" s="44">
        <f t="shared" ref="N99:N100" si="41">M99/E99</f>
        <v>2</v>
      </c>
      <c r="O99" s="60">
        <f t="shared" ref="O99:O100" si="42">N99*F99</f>
        <v>1440</v>
      </c>
      <c r="P99" s="56">
        <f>N99*L99</f>
        <v>0.96800000000000019</v>
      </c>
    </row>
    <row r="100" spans="1:16" s="57" customFormat="1">
      <c r="A100" s="49"/>
      <c r="B100" s="49" t="s">
        <v>58</v>
      </c>
      <c r="C100" s="47" t="s">
        <v>59</v>
      </c>
      <c r="D100" s="58"/>
      <c r="E100" s="44">
        <v>600</v>
      </c>
      <c r="F100" s="67">
        <v>720</v>
      </c>
      <c r="G100" s="44">
        <v>50</v>
      </c>
      <c r="H100" s="67">
        <v>680</v>
      </c>
      <c r="I100" s="44">
        <v>1.1000000000000001</v>
      </c>
      <c r="J100" s="44">
        <v>0.8</v>
      </c>
      <c r="K100" s="44">
        <v>0.55000000000000004</v>
      </c>
      <c r="L100" s="59">
        <f t="shared" si="40"/>
        <v>0.4840000000000001</v>
      </c>
      <c r="M100" s="54">
        <f>$M$63*2</f>
        <v>2400</v>
      </c>
      <c r="N100" s="44">
        <f t="shared" si="41"/>
        <v>4</v>
      </c>
      <c r="O100" s="60">
        <f t="shared" si="42"/>
        <v>2880</v>
      </c>
      <c r="P100" s="56">
        <f t="shared" ref="P100" si="43">N100*L100</f>
        <v>1.9360000000000004</v>
      </c>
    </row>
    <row r="101" spans="1:16">
      <c r="B101" s="1"/>
      <c r="C101" s="1"/>
      <c r="D101" s="1"/>
      <c r="F101" s="37"/>
      <c r="G101" s="37"/>
      <c r="H101" s="37"/>
      <c r="I101" s="37"/>
      <c r="J101" s="37"/>
      <c r="K101" s="37"/>
      <c r="L101" s="37"/>
      <c r="M101" s="37"/>
      <c r="N101" s="42">
        <f>SUM(N91:N100)</f>
        <v>32</v>
      </c>
      <c r="O101" s="42">
        <f>SUM(O91:O100)</f>
        <v>26118</v>
      </c>
      <c r="P101" s="42">
        <f>SUM(P91:P100)</f>
        <v>21.477548000000002</v>
      </c>
    </row>
    <row r="102" spans="1:16">
      <c r="B102" s="1"/>
      <c r="C102" s="1"/>
      <c r="D102" s="1"/>
      <c r="I102" s="71">
        <f>SUM(I103:N103)</f>
        <v>4.43</v>
      </c>
      <c r="J102" s="71"/>
      <c r="K102" s="71"/>
      <c r="L102" s="71"/>
      <c r="M102" s="71"/>
      <c r="N102" s="71"/>
    </row>
    <row r="103" spans="1:16">
      <c r="B103" s="1"/>
      <c r="C103" s="1"/>
      <c r="D103" s="1"/>
      <c r="J103">
        <v>0.95</v>
      </c>
      <c r="K103">
        <v>0.87</v>
      </c>
      <c r="L103">
        <v>0.87</v>
      </c>
      <c r="M103">
        <v>0.87</v>
      </c>
      <c r="N103">
        <v>0.87</v>
      </c>
    </row>
    <row r="104" spans="1:16">
      <c r="B104" s="1"/>
      <c r="C104" s="1"/>
      <c r="D104" s="1"/>
      <c r="I104" s="70"/>
      <c r="J104" s="77" t="s">
        <v>54</v>
      </c>
      <c r="K104" s="77" t="s">
        <v>62</v>
      </c>
      <c r="L104" s="70" t="s">
        <v>60</v>
      </c>
      <c r="M104" s="70" t="s">
        <v>60</v>
      </c>
      <c r="N104" s="70" t="s">
        <v>60</v>
      </c>
    </row>
    <row r="105" spans="1:16">
      <c r="B105" s="1"/>
      <c r="C105" s="1"/>
      <c r="D105" s="1"/>
      <c r="I105" s="70"/>
      <c r="J105" s="70"/>
      <c r="K105" s="70"/>
      <c r="L105" s="70"/>
      <c r="M105" s="70"/>
      <c r="N105" s="70"/>
    </row>
    <row r="106" spans="1:16">
      <c r="B106" s="1"/>
      <c r="C106" s="1"/>
      <c r="D106" s="1"/>
      <c r="I106" s="70"/>
      <c r="J106" s="70"/>
      <c r="K106" s="70"/>
      <c r="L106" s="70"/>
      <c r="M106" s="70"/>
      <c r="N106" s="70"/>
    </row>
    <row r="107" spans="1:16">
      <c r="B107" s="1"/>
      <c r="C107" s="1"/>
      <c r="D107" s="1"/>
      <c r="I107" s="70"/>
      <c r="J107" s="70"/>
      <c r="K107" s="70"/>
      <c r="L107" s="70"/>
      <c r="M107" s="70"/>
      <c r="N107" s="70"/>
    </row>
    <row r="108" spans="1:16" ht="22.2" customHeight="1">
      <c r="B108" s="1"/>
      <c r="C108" s="1"/>
      <c r="D108" s="1"/>
      <c r="I108" s="70"/>
      <c r="J108" s="77" t="s">
        <v>53</v>
      </c>
      <c r="K108" s="77" t="s">
        <v>61</v>
      </c>
      <c r="L108" s="70" t="s">
        <v>60</v>
      </c>
      <c r="M108" s="70" t="s">
        <v>60</v>
      </c>
      <c r="N108" s="70" t="s">
        <v>60</v>
      </c>
    </row>
    <row r="109" spans="1:16">
      <c r="B109" s="1"/>
      <c r="C109" s="1"/>
      <c r="D109" s="1"/>
      <c r="I109" s="70"/>
      <c r="J109" s="70"/>
      <c r="K109" s="70"/>
      <c r="L109" s="70"/>
      <c r="M109" s="70"/>
      <c r="N109" s="70"/>
    </row>
    <row r="110" spans="1:16">
      <c r="B110" s="1"/>
      <c r="C110" s="1"/>
      <c r="D110" s="1"/>
      <c r="I110" s="70"/>
      <c r="J110" s="70"/>
      <c r="K110" s="70"/>
      <c r="L110" s="70"/>
      <c r="M110" s="70"/>
      <c r="N110" s="70"/>
    </row>
    <row r="111" spans="1:16">
      <c r="B111" s="1"/>
      <c r="C111" s="1"/>
      <c r="D111" s="1"/>
      <c r="I111" s="70"/>
      <c r="J111" s="70"/>
      <c r="K111" s="70"/>
      <c r="L111" s="70"/>
      <c r="M111" s="70"/>
      <c r="N111" s="70"/>
    </row>
    <row r="112" spans="1:16">
      <c r="B112" s="1"/>
      <c r="C112" s="1"/>
      <c r="D112" s="1"/>
      <c r="J112">
        <v>0.8</v>
      </c>
      <c r="K112">
        <v>1.02</v>
      </c>
      <c r="L112">
        <v>0.87</v>
      </c>
      <c r="M112">
        <v>0.87</v>
      </c>
      <c r="N112">
        <v>0.87</v>
      </c>
    </row>
    <row r="113" spans="2:14">
      <c r="B113" s="1"/>
      <c r="C113" s="1"/>
      <c r="D113" s="1"/>
      <c r="I113" s="71">
        <f>SUM(I112:N112)</f>
        <v>4.43</v>
      </c>
      <c r="J113" s="71"/>
      <c r="K113" s="71"/>
      <c r="L113" s="71"/>
      <c r="M113" s="71"/>
      <c r="N113" s="71"/>
    </row>
    <row r="114" spans="2:14">
      <c r="B114" s="1"/>
      <c r="C114" s="1"/>
      <c r="D114" s="1"/>
    </row>
  </sheetData>
  <mergeCells count="158">
    <mergeCell ref="P42:P44"/>
    <mergeCell ref="F42:F44"/>
    <mergeCell ref="G42:G44"/>
    <mergeCell ref="H42:H44"/>
    <mergeCell ref="I42:I44"/>
    <mergeCell ref="J42:J44"/>
    <mergeCell ref="K42:K44"/>
    <mergeCell ref="L42:L44"/>
    <mergeCell ref="N42:N44"/>
    <mergeCell ref="O42:O44"/>
    <mergeCell ref="L35:L37"/>
    <mergeCell ref="N35:N37"/>
    <mergeCell ref="O35:O37"/>
    <mergeCell ref="P35:P37"/>
    <mergeCell ref="F38:F40"/>
    <mergeCell ref="G38:G40"/>
    <mergeCell ref="H38:H40"/>
    <mergeCell ref="I38:I40"/>
    <mergeCell ref="J38:J40"/>
    <mergeCell ref="K38:K40"/>
    <mergeCell ref="L38:L40"/>
    <mergeCell ref="N38:N40"/>
    <mergeCell ref="O38:O40"/>
    <mergeCell ref="P38:P40"/>
    <mergeCell ref="F35:F37"/>
    <mergeCell ref="G35:G37"/>
    <mergeCell ref="H35:H37"/>
    <mergeCell ref="I35:I37"/>
    <mergeCell ref="J35:J37"/>
    <mergeCell ref="K35:K37"/>
    <mergeCell ref="I113:N113"/>
    <mergeCell ref="I108:I111"/>
    <mergeCell ref="J108:J111"/>
    <mergeCell ref="K108:K111"/>
    <mergeCell ref="L108:L111"/>
    <mergeCell ref="M108:M111"/>
    <mergeCell ref="N108:N111"/>
    <mergeCell ref="I102:N102"/>
    <mergeCell ref="I104:I107"/>
    <mergeCell ref="J104:J107"/>
    <mergeCell ref="K104:K107"/>
    <mergeCell ref="L104:L107"/>
    <mergeCell ref="M104:M107"/>
    <mergeCell ref="N104:N107"/>
    <mergeCell ref="I96:I98"/>
    <mergeCell ref="J96:J98"/>
    <mergeCell ref="K96:K98"/>
    <mergeCell ref="L96:L98"/>
    <mergeCell ref="N96:N98"/>
    <mergeCell ref="O96:O98"/>
    <mergeCell ref="P96:P98"/>
    <mergeCell ref="I93:I95"/>
    <mergeCell ref="F96:F98"/>
    <mergeCell ref="G96:G98"/>
    <mergeCell ref="H96:H98"/>
    <mergeCell ref="F93:F95"/>
    <mergeCell ref="G93:G95"/>
    <mergeCell ref="J93:J95"/>
    <mergeCell ref="K93:K95"/>
    <mergeCell ref="L93:L95"/>
    <mergeCell ref="N93:N95"/>
    <mergeCell ref="O93:O95"/>
    <mergeCell ref="P93:P95"/>
    <mergeCell ref="I85:N85"/>
    <mergeCell ref="N80:N83"/>
    <mergeCell ref="I80:I83"/>
    <mergeCell ref="J80:J83"/>
    <mergeCell ref="K80:K83"/>
    <mergeCell ref="L80:L83"/>
    <mergeCell ref="M80:M83"/>
    <mergeCell ref="O68:O70"/>
    <mergeCell ref="P68:P70"/>
    <mergeCell ref="N76:N79"/>
    <mergeCell ref="I76:I79"/>
    <mergeCell ref="J76:J79"/>
    <mergeCell ref="K76:K79"/>
    <mergeCell ref="L76:L79"/>
    <mergeCell ref="M76:M79"/>
    <mergeCell ref="O65:O67"/>
    <mergeCell ref="P65:P67"/>
    <mergeCell ref="I74:N74"/>
    <mergeCell ref="L49:L52"/>
    <mergeCell ref="F68:F70"/>
    <mergeCell ref="G68:G70"/>
    <mergeCell ref="H68:H70"/>
    <mergeCell ref="I68:I70"/>
    <mergeCell ref="J68:J70"/>
    <mergeCell ref="K68:K70"/>
    <mergeCell ref="L68:L70"/>
    <mergeCell ref="N68:N70"/>
    <mergeCell ref="M49:M52"/>
    <mergeCell ref="N49:N52"/>
    <mergeCell ref="H53:H56"/>
    <mergeCell ref="I53:I56"/>
    <mergeCell ref="J53:J56"/>
    <mergeCell ref="K53:K56"/>
    <mergeCell ref="L53:L56"/>
    <mergeCell ref="M53:M56"/>
    <mergeCell ref="N53:N56"/>
    <mergeCell ref="F65:F67"/>
    <mergeCell ref="G65:G67"/>
    <mergeCell ref="I65:I67"/>
    <mergeCell ref="J65:J67"/>
    <mergeCell ref="K65:K67"/>
    <mergeCell ref="L65:L67"/>
    <mergeCell ref="N65:N67"/>
    <mergeCell ref="H47:N47"/>
    <mergeCell ref="H49:H52"/>
    <mergeCell ref="I49:I52"/>
    <mergeCell ref="J49:J52"/>
    <mergeCell ref="K49:K52"/>
    <mergeCell ref="H58:N58"/>
    <mergeCell ref="O12:O14"/>
    <mergeCell ref="P12:P14"/>
    <mergeCell ref="H20:H23"/>
    <mergeCell ref="H18:N18"/>
    <mergeCell ref="O5:O7"/>
    <mergeCell ref="P5:P7"/>
    <mergeCell ref="F12:F14"/>
    <mergeCell ref="G12:G14"/>
    <mergeCell ref="H12:H14"/>
    <mergeCell ref="I12:I14"/>
    <mergeCell ref="J12:J14"/>
    <mergeCell ref="K12:K14"/>
    <mergeCell ref="L12:L14"/>
    <mergeCell ref="N12:N14"/>
    <mergeCell ref="O8:O10"/>
    <mergeCell ref="P8:P10"/>
    <mergeCell ref="F8:F10"/>
    <mergeCell ref="G8:G10"/>
    <mergeCell ref="H8:H10"/>
    <mergeCell ref="I8:I10"/>
    <mergeCell ref="J8:J10"/>
    <mergeCell ref="K8:K10"/>
    <mergeCell ref="N24:N27"/>
    <mergeCell ref="H29:N29"/>
    <mergeCell ref="F5:F7"/>
    <mergeCell ref="G5:G7"/>
    <mergeCell ref="H5:H7"/>
    <mergeCell ref="I5:I7"/>
    <mergeCell ref="J5:J7"/>
    <mergeCell ref="K5:K7"/>
    <mergeCell ref="L5:L7"/>
    <mergeCell ref="N5:N7"/>
    <mergeCell ref="H24:H27"/>
    <mergeCell ref="I24:I27"/>
    <mergeCell ref="J24:J27"/>
    <mergeCell ref="K24:K27"/>
    <mergeCell ref="L24:L27"/>
    <mergeCell ref="M24:M27"/>
    <mergeCell ref="I20:I23"/>
    <mergeCell ref="J20:J23"/>
    <mergeCell ref="K20:K23"/>
    <mergeCell ref="L20:L23"/>
    <mergeCell ref="M20:M23"/>
    <mergeCell ref="N20:N23"/>
    <mergeCell ref="L8:L10"/>
    <mergeCell ref="N8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Shipping Schedule Summary </vt:lpstr>
      <vt:lpstr>Sheet1</vt:lpstr>
      <vt:lpstr>'Shipping Schedule Summary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cp:lastPrinted>2025-02-21T05:35:07Z</cp:lastPrinted>
  <dcterms:created xsi:type="dcterms:W3CDTF">2015-06-05T18:17:00Z</dcterms:created>
  <dcterms:modified xsi:type="dcterms:W3CDTF">2025-10-10T03:59:57Z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0C7022505C524D0EA440EBBE40455052_13</vt:lpwstr>
  </property>
  <property fmtid="{D5CDD505-2E9C-101B-9397-08002B2CF9AE}" pid="3" name="KSOProductBuildVer">
    <vt:lpwstr>2052-11.1.0.15319</vt:lpwstr>
  </property>
</Properties>
</file>