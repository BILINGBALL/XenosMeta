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/>
  <mc:AlternateContent xmlns:mc="http://schemas.openxmlformats.org/markup-compatibility/2006">
    <mc:Choice Requires="x15">
      <x15ac:absPath xmlns:x15ac="http://schemas.microsoft.com/office/spreadsheetml/2010/11/ac" url="C:\Users\lu\Desktop\#31发货\"/>
    </mc:Choice>
  </mc:AlternateContent>
  <xr:revisionPtr revIDLastSave="0" documentId="13_ncr:1_{A54EDDEF-FACD-40EC-9660-0B04662C831A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9" i="1" l="1"/>
  <c r="Q6" i="1"/>
  <c r="M6" i="1"/>
  <c r="O6" i="1"/>
  <c r="P6" i="1"/>
  <c r="J6" i="1"/>
  <c r="H6" i="1"/>
  <c r="F6" i="1" s="1"/>
  <c r="M7" i="1"/>
  <c r="P7" i="1" s="1"/>
  <c r="Q7" i="1"/>
  <c r="O7" i="1"/>
  <c r="J7" i="1"/>
  <c r="H7" i="1"/>
  <c r="F7" i="1" s="1"/>
  <c r="Q5" i="1"/>
  <c r="O5" i="1"/>
  <c r="M5" i="1"/>
  <c r="P5" i="1" s="1"/>
  <c r="J5" i="1"/>
  <c r="H5" i="1"/>
  <c r="F5" i="1"/>
  <c r="K9" i="1" l="1"/>
  <c r="Q8" i="1"/>
  <c r="P8" i="1"/>
  <c r="O8" i="1"/>
  <c r="M8" i="1"/>
  <c r="J8" i="1"/>
  <c r="H8" i="1"/>
  <c r="F8" i="1" s="1"/>
  <c r="Q4" i="1"/>
  <c r="O4" i="1"/>
  <c r="M4" i="1"/>
  <c r="P4" i="1" s="1"/>
  <c r="J4" i="1"/>
  <c r="H4" i="1"/>
  <c r="F4" i="1" s="1"/>
  <c r="F9" i="1" l="1"/>
  <c r="Q9" i="1"/>
  <c r="P9" i="1"/>
  <c r="O9" i="1"/>
</calcChain>
</file>

<file path=xl/sharedStrings.xml><?xml version="1.0" encoding="utf-8"?>
<sst xmlns="http://schemas.openxmlformats.org/spreadsheetml/2006/main" count="42" uniqueCount="37">
  <si>
    <t>柜号
No</t>
  </si>
  <si>
    <t>产品名称
Name</t>
  </si>
  <si>
    <t>型号及规格
Spec.</t>
  </si>
  <si>
    <t>合同号
PO</t>
  </si>
  <si>
    <t>箱号
Case No.</t>
  </si>
  <si>
    <t>件
Quan.</t>
  </si>
  <si>
    <t>件/袋
pcs
/bag</t>
  </si>
  <si>
    <t>袋
bags</t>
  </si>
  <si>
    <t>袋/箱
bag
/case</t>
  </si>
  <si>
    <t>件/箱
pcs
/case</t>
  </si>
  <si>
    <t>箱
CASW</t>
  </si>
  <si>
    <t>净重/箱
NW/CASE
（KG）</t>
  </si>
  <si>
    <t>毛重/箱
GW/CASE
（KG）</t>
  </si>
  <si>
    <t>体积/箱 m³
M³/CASE</t>
  </si>
  <si>
    <t>总净重
NW
（KG）</t>
  </si>
  <si>
    <t>总毛重
GW
(KG）</t>
  </si>
  <si>
    <t>总体积
M³</t>
  </si>
  <si>
    <t>螺纹道钉
SCREW SPIKE</t>
  </si>
  <si>
    <t>合计</t>
  </si>
  <si>
    <t>备注：</t>
  </si>
  <si>
    <t>Delkor</t>
  </si>
  <si>
    <t>苏州苏德兰铁路配件有限公司</t>
  </si>
  <si>
    <t xml:space="preserve"> 包  装  明  细  表  
Delkor                            </t>
    <phoneticPr fontId="9" type="noConversion"/>
  </si>
  <si>
    <t>24x165</t>
  </si>
  <si>
    <r>
      <t xml:space="preserve">1100*800*550
</t>
    </r>
    <r>
      <rPr>
        <sz val="10"/>
        <color theme="1"/>
        <rFont val="宋体"/>
        <family val="3"/>
        <charset val="134"/>
        <scheme val="minor"/>
      </rPr>
      <t>0.48</t>
    </r>
    <phoneticPr fontId="9" type="noConversion"/>
  </si>
  <si>
    <r>
      <rPr>
        <sz val="8"/>
        <color theme="1"/>
        <rFont val="宋体"/>
        <family val="3"/>
        <charset val="134"/>
        <scheme val="minor"/>
      </rPr>
      <t xml:space="preserve">1100*800*550
</t>
    </r>
    <r>
      <rPr>
        <sz val="10"/>
        <color theme="1"/>
        <rFont val="宋体"/>
        <family val="3"/>
        <charset val="134"/>
        <scheme val="minor"/>
      </rPr>
      <t>0.48</t>
    </r>
  </si>
  <si>
    <t>螺纹道钉
配弹垫
SCREW SPIKE
with WASHER</t>
  </si>
  <si>
    <t>弹垫
Spring Washer</t>
  </si>
  <si>
    <t>#31</t>
    <phoneticPr fontId="9" type="noConversion"/>
  </si>
  <si>
    <t>24x145</t>
    <phoneticPr fontId="9" type="noConversion"/>
  </si>
  <si>
    <t>24x180</t>
  </si>
  <si>
    <r>
      <t xml:space="preserve">1100*800*350
</t>
    </r>
    <r>
      <rPr>
        <sz val="10"/>
        <color theme="1"/>
        <rFont val="宋体"/>
        <family val="3"/>
        <charset val="134"/>
        <scheme val="minor"/>
      </rPr>
      <t>0.31</t>
    </r>
    <phoneticPr fontId="9" type="noConversion"/>
  </si>
  <si>
    <t>1/23-2/23</t>
    <phoneticPr fontId="9" type="noConversion"/>
  </si>
  <si>
    <t>3/23-7/23</t>
    <phoneticPr fontId="9" type="noConversion"/>
  </si>
  <si>
    <t>8/23</t>
    <phoneticPr fontId="9" type="noConversion"/>
  </si>
  <si>
    <t>9/23-11/23</t>
    <phoneticPr fontId="9" type="noConversion"/>
  </si>
  <si>
    <t>12/23-23/23</t>
    <phoneticPr fontId="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</si>
</sst>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[$-F800]dddd\,\ mmmm\ dd\,\ yyyy"/>
    <numFmt numFmtId="177" formatCode="0_);[Red]\(0\)"/>
    <numFmt numFmtId="178" formatCode="0.00_);[Red]\(0.00\)"/>
  </numFmts>
  <fonts count="13" x14ac:knownFonts="1">
    <font>
      <sz val="11"/>
      <color theme="1"/>
      <name val="宋体"/>
      <charset val="134"/>
      <scheme val="minor"/>
    </font>
    <font>
      <b/>
      <sz val="20"/>
      <color theme="1"/>
      <name val="宋体"/>
      <family val="3"/>
      <charset val="134"/>
      <scheme val="minor"/>
    </font>
    <font>
      <sz val="10"/>
      <color theme="1"/>
      <name val="宋体"/>
      <family val="3"/>
      <charset val="134"/>
      <scheme val="minor"/>
    </font>
    <font>
      <sz val="10"/>
      <color theme="1"/>
      <name val="宋体"/>
      <family val="3"/>
      <charset val="134"/>
      <scheme val="minor"/>
    </font>
    <font>
      <sz val="9"/>
      <color theme="1"/>
      <name val="宋体"/>
      <family val="3"/>
      <charset val="134"/>
      <scheme val="minor"/>
    </font>
    <font>
      <sz val="10"/>
      <name val="宋体"/>
      <family val="3"/>
      <charset val="134"/>
      <scheme val="minor"/>
    </font>
    <font>
      <sz val="12"/>
      <color theme="1"/>
      <name val="宋体"/>
      <family val="3"/>
      <charset val="134"/>
      <scheme val="minor"/>
    </font>
    <font>
      <sz val="8"/>
      <color theme="1"/>
      <name val="宋体"/>
      <family val="3"/>
      <charset val="134"/>
      <scheme val="minor"/>
    </font>
    <font>
      <sz val="14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b/>
      <sz val="12"/>
      <color theme="1"/>
      <name val="宋体"/>
      <family val="3"/>
      <charset val="134"/>
      <scheme val="minor"/>
    </font>
    <font>
      <b/>
      <sz val="20"/>
      <color theme="1"/>
      <name val="宋体"/>
      <family val="3"/>
      <charset val="134"/>
      <scheme val="minor"/>
    </font>
    <font>
      <sz val="20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176" fontId="0" fillId="0" borderId="0">
      <alignment vertical="center"/>
    </xf>
  </cellStyleXfs>
  <cellXfs count="26">
    <xf numFmtId="176" fontId="0" fillId="0" borderId="0" xfId="0">
      <alignment vertical="center"/>
    </xf>
    <xf numFmtId="178" fontId="3" fillId="0" borderId="1" xfId="0" applyNumberFormat="1" applyFont="1" applyBorder="1" applyAlignment="1">
      <alignment horizontal="center" vertical="center"/>
    </xf>
    <xf numFmtId="177" fontId="5" fillId="0" borderId="1" xfId="0" applyNumberFormat="1" applyFont="1" applyBorder="1" applyAlignment="1">
      <alignment horizontal="center" vertical="center"/>
    </xf>
    <xf numFmtId="177" fontId="3" fillId="0" borderId="1" xfId="0" applyNumberFormat="1" applyFont="1" applyBorder="1" applyAlignment="1">
      <alignment horizontal="center" vertical="center"/>
    </xf>
    <xf numFmtId="178" fontId="4" fillId="0" borderId="1" xfId="0" applyNumberFormat="1" applyFont="1" applyBorder="1" applyAlignment="1">
      <alignment horizontal="center" vertical="center" wrapText="1"/>
    </xf>
    <xf numFmtId="176" fontId="3" fillId="0" borderId="0" xfId="0" applyFont="1" applyAlignment="1">
      <alignment horizontal="center" vertical="center"/>
    </xf>
    <xf numFmtId="176" fontId="6" fillId="0" borderId="0" xfId="0" applyFont="1" applyAlignment="1">
      <alignment horizontal="center" vertical="center"/>
    </xf>
    <xf numFmtId="176" fontId="0" fillId="0" borderId="0" xfId="0" applyAlignment="1">
      <alignment horizontal="center" vertical="center"/>
    </xf>
    <xf numFmtId="178" fontId="7" fillId="0" borderId="1" xfId="0" applyNumberFormat="1" applyFont="1" applyBorder="1" applyAlignment="1">
      <alignment horizontal="center" vertical="center" wrapText="1"/>
    </xf>
    <xf numFmtId="176" fontId="10" fillId="0" borderId="0" xfId="0" applyFont="1" applyAlignment="1">
      <alignment horizontal="center" vertical="center"/>
    </xf>
    <xf numFmtId="176" fontId="2" fillId="0" borderId="2" xfId="0" applyFont="1" applyBorder="1" applyAlignment="1">
      <alignment horizontal="center" vertical="center" wrapText="1"/>
    </xf>
    <xf numFmtId="176" fontId="3" fillId="0" borderId="2" xfId="0" applyFont="1" applyBorder="1" applyAlignment="1">
      <alignment horizontal="center" vertical="center" wrapText="1"/>
    </xf>
    <xf numFmtId="178" fontId="2" fillId="0" borderId="0" xfId="0" applyNumberFormat="1" applyFont="1">
      <alignment vertical="center"/>
    </xf>
    <xf numFmtId="176" fontId="1" fillId="0" borderId="0" xfId="0" applyFont="1" applyAlignment="1">
      <alignment horizontal="center" vertical="center"/>
    </xf>
    <xf numFmtId="176" fontId="12" fillId="0" borderId="0" xfId="0" applyFont="1" applyAlignment="1">
      <alignment horizontal="left" vertical="center"/>
    </xf>
    <xf numFmtId="177" fontId="2" fillId="0" borderId="1" xfId="0" applyNumberFormat="1" applyFont="1" applyBorder="1" applyAlignment="1">
      <alignment horizontal="center" vertical="center"/>
    </xf>
    <xf numFmtId="178" fontId="2" fillId="0" borderId="1" xfId="0" applyNumberFormat="1" applyFont="1" applyBorder="1" applyAlignment="1">
      <alignment horizontal="center" vertical="center" wrapText="1"/>
    </xf>
    <xf numFmtId="177" fontId="2" fillId="0" borderId="2" xfId="0" applyNumberFormat="1" applyFont="1" applyBorder="1" applyAlignment="1">
      <alignment horizontal="center" vertical="center" wrapText="1"/>
    </xf>
    <xf numFmtId="178" fontId="2" fillId="0" borderId="1" xfId="0" applyNumberFormat="1" applyFont="1" applyBorder="1" applyAlignment="1">
      <alignment horizontal="center" vertical="center"/>
    </xf>
    <xf numFmtId="177" fontId="2" fillId="0" borderId="1" xfId="0" applyNumberFormat="1" applyFont="1" applyBorder="1" applyAlignment="1">
      <alignment horizontal="center" vertical="center" wrapText="1"/>
    </xf>
    <xf numFmtId="49" fontId="2" fillId="0" borderId="1" xfId="0" applyNumberFormat="1" applyFont="1" applyBorder="1" applyAlignment="1">
      <alignment horizontal="center" vertical="center"/>
    </xf>
    <xf numFmtId="178" fontId="2" fillId="0" borderId="1" xfId="0" quotePrefix="1" applyNumberFormat="1" applyFont="1" applyBorder="1" applyAlignment="1">
      <alignment horizontal="center" vertical="center"/>
    </xf>
    <xf numFmtId="176" fontId="8" fillId="0" borderId="0" xfId="0" applyFont="1" applyAlignment="1">
      <alignment horizontal="right" vertical="center"/>
    </xf>
    <xf numFmtId="176" fontId="11" fillId="0" borderId="0" xfId="0" applyFont="1" applyAlignment="1">
      <alignment horizontal="center" vertical="center" wrapText="1"/>
    </xf>
    <xf numFmtId="176" fontId="1" fillId="0" borderId="0" xfId="0" applyFont="1" applyAlignment="1">
      <alignment horizontal="center" vertical="center"/>
    </xf>
    <xf numFmtId="178" fontId="3" fillId="0" borderId="1" xfId="0" applyNumberFormat="1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R20"/>
  <sheetViews>
    <sheetView tabSelected="1" topLeftCell="A4" workbookViewId="0">
      <selection activeCell="E8" sqref="E8"/>
    </sheetView>
  </sheetViews>
  <sheetFormatPr defaultColWidth="9" defaultRowHeight="13.5" x14ac:dyDescent="0.15"/>
  <cols>
    <col min="1" max="1" width="4.625" customWidth="1"/>
    <col min="2" max="2" width="10.5" customWidth="1"/>
    <col min="3" max="3" width="9.5" customWidth="1"/>
    <col min="4" max="4" width="9.625" customWidth="1"/>
    <col min="5" max="5" width="11.375" customWidth="1"/>
    <col min="6" max="6" width="8.625" customWidth="1"/>
    <col min="7" max="7" width="5.75" customWidth="1"/>
    <col min="8" max="8" width="5.625" customWidth="1"/>
    <col min="9" max="9" width="7.875" customWidth="1"/>
    <col min="10" max="10" width="6.25" customWidth="1"/>
    <col min="11" max="11" width="5.5" customWidth="1"/>
    <col min="12" max="12" width="8.125" customWidth="1"/>
    <col min="13" max="13" width="8.5" customWidth="1"/>
    <col min="14" max="14" width="10.25" customWidth="1"/>
    <col min="15" max="16" width="9.375" customWidth="1"/>
    <col min="17" max="17" width="9.125" customWidth="1"/>
  </cols>
  <sheetData>
    <row r="1" spans="1:18" ht="66.75" customHeight="1" x14ac:dyDescent="0.15">
      <c r="A1" s="23" t="s">
        <v>22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  <c r="Q1" s="24"/>
    </row>
    <row r="2" spans="1:18" ht="30.75" customHeight="1" x14ac:dyDescent="0.15">
      <c r="A2" s="14" t="s">
        <v>28</v>
      </c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</row>
    <row r="3" spans="1:18" ht="39.75" customHeight="1" x14ac:dyDescent="0.15">
      <c r="A3" s="10" t="s">
        <v>0</v>
      </c>
      <c r="B3" s="11" t="s">
        <v>1</v>
      </c>
      <c r="C3" s="11" t="s">
        <v>2</v>
      </c>
      <c r="D3" s="11" t="s">
        <v>3</v>
      </c>
      <c r="E3" s="11" t="s">
        <v>4</v>
      </c>
      <c r="F3" s="11" t="s">
        <v>5</v>
      </c>
      <c r="G3" s="11" t="s">
        <v>6</v>
      </c>
      <c r="H3" s="11" t="s">
        <v>7</v>
      </c>
      <c r="I3" s="11" t="s">
        <v>8</v>
      </c>
      <c r="J3" s="11" t="s">
        <v>9</v>
      </c>
      <c r="K3" s="11" t="s">
        <v>10</v>
      </c>
      <c r="L3" s="11" t="s">
        <v>11</v>
      </c>
      <c r="M3" s="11" t="s">
        <v>12</v>
      </c>
      <c r="N3" s="11" t="s">
        <v>13</v>
      </c>
      <c r="O3" s="11" t="s">
        <v>14</v>
      </c>
      <c r="P3" s="11" t="s">
        <v>15</v>
      </c>
      <c r="Q3" s="11" t="s">
        <v>16</v>
      </c>
    </row>
    <row r="4" spans="1:18" ht="43.5" customHeight="1" x14ac:dyDescent="0.15">
      <c r="A4" s="15">
        <v>1</v>
      </c>
      <c r="B4" s="4" t="s">
        <v>27</v>
      </c>
      <c r="C4" s="19">
        <v>25</v>
      </c>
      <c r="D4" s="17">
        <v>9342</v>
      </c>
      <c r="E4" s="20" t="s">
        <v>32</v>
      </c>
      <c r="F4" s="2">
        <f t="shared" ref="F4" si="0">G4*H4</f>
        <v>8000</v>
      </c>
      <c r="G4" s="15">
        <v>200</v>
      </c>
      <c r="H4" s="15">
        <f t="shared" ref="H4:H7" si="1">I4*K4</f>
        <v>40</v>
      </c>
      <c r="I4" s="15">
        <v>20</v>
      </c>
      <c r="J4" s="15">
        <f t="shared" ref="J4" si="2">G4*I4</f>
        <v>4000</v>
      </c>
      <c r="K4" s="15">
        <v>2</v>
      </c>
      <c r="L4" s="15">
        <v>365</v>
      </c>
      <c r="M4" s="15">
        <f t="shared" ref="M4:M7" si="3">L4+42</f>
        <v>407</v>
      </c>
      <c r="N4" s="8" t="s">
        <v>24</v>
      </c>
      <c r="O4" s="15">
        <f t="shared" ref="O4:O7" si="4">L4*K4</f>
        <v>730</v>
      </c>
      <c r="P4" s="15">
        <f t="shared" ref="P4:P7" si="5">M4*K4</f>
        <v>814</v>
      </c>
      <c r="Q4" s="18">
        <f>0.48*K4</f>
        <v>0.96</v>
      </c>
    </row>
    <row r="5" spans="1:18" ht="43.5" customHeight="1" x14ac:dyDescent="0.15">
      <c r="A5" s="15">
        <v>2</v>
      </c>
      <c r="B5" s="4" t="s">
        <v>17</v>
      </c>
      <c r="C5" s="16" t="s">
        <v>30</v>
      </c>
      <c r="D5" s="19">
        <v>9375</v>
      </c>
      <c r="E5" s="18" t="s">
        <v>33</v>
      </c>
      <c r="F5" s="2">
        <f>G5*H5</f>
        <v>4000</v>
      </c>
      <c r="G5" s="2">
        <v>25</v>
      </c>
      <c r="H5" s="15">
        <f t="shared" si="1"/>
        <v>160</v>
      </c>
      <c r="I5" s="2">
        <v>32</v>
      </c>
      <c r="J5" s="2">
        <f>G5*I5</f>
        <v>800</v>
      </c>
      <c r="K5" s="2">
        <v>5</v>
      </c>
      <c r="L5" s="2">
        <v>645</v>
      </c>
      <c r="M5" s="15">
        <f t="shared" si="3"/>
        <v>687</v>
      </c>
      <c r="N5" s="8" t="s">
        <v>24</v>
      </c>
      <c r="O5" s="15">
        <f t="shared" si="4"/>
        <v>3225</v>
      </c>
      <c r="P5" s="15">
        <f t="shared" si="5"/>
        <v>3435</v>
      </c>
      <c r="Q5" s="18">
        <f t="shared" ref="Q5:Q7" si="6">0.48*K5</f>
        <v>2.4</v>
      </c>
    </row>
    <row r="6" spans="1:18" ht="43.5" customHeight="1" x14ac:dyDescent="0.15">
      <c r="A6" s="15">
        <v>3</v>
      </c>
      <c r="B6" s="4" t="s">
        <v>17</v>
      </c>
      <c r="C6" s="16" t="s">
        <v>30</v>
      </c>
      <c r="D6" s="19">
        <v>9375</v>
      </c>
      <c r="E6" s="21" t="s">
        <v>34</v>
      </c>
      <c r="F6" s="2">
        <f>G6*H6</f>
        <v>400</v>
      </c>
      <c r="G6" s="2">
        <v>25</v>
      </c>
      <c r="H6" s="15">
        <f t="shared" ref="H6" si="7">I6*K6</f>
        <v>16</v>
      </c>
      <c r="I6" s="2">
        <v>16</v>
      </c>
      <c r="J6" s="2">
        <f>G6*I6</f>
        <v>400</v>
      </c>
      <c r="K6" s="2">
        <v>1</v>
      </c>
      <c r="L6" s="2">
        <v>323</v>
      </c>
      <c r="M6" s="15">
        <f>L6+30</f>
        <v>353</v>
      </c>
      <c r="N6" s="8" t="s">
        <v>31</v>
      </c>
      <c r="O6" s="15">
        <f t="shared" ref="O6" si="8">L6*K6</f>
        <v>323</v>
      </c>
      <c r="P6" s="15">
        <f t="shared" ref="P6" si="9">M6*K6</f>
        <v>353</v>
      </c>
      <c r="Q6" s="18">
        <f>0.31*K6</f>
        <v>0.31</v>
      </c>
    </row>
    <row r="7" spans="1:18" ht="47.25" customHeight="1" x14ac:dyDescent="0.15">
      <c r="A7" s="15">
        <v>4</v>
      </c>
      <c r="B7" s="4" t="s">
        <v>17</v>
      </c>
      <c r="C7" s="16" t="s">
        <v>29</v>
      </c>
      <c r="D7" s="17">
        <v>9431</v>
      </c>
      <c r="E7" s="18" t="s">
        <v>35</v>
      </c>
      <c r="F7" s="2">
        <f t="shared" ref="F7" si="10">G7*H7</f>
        <v>3000</v>
      </c>
      <c r="G7" s="15">
        <v>25</v>
      </c>
      <c r="H7" s="15">
        <f t="shared" si="1"/>
        <v>120</v>
      </c>
      <c r="I7" s="15">
        <v>40</v>
      </c>
      <c r="J7" s="15">
        <f t="shared" ref="J7" si="11">G7*I7</f>
        <v>1000</v>
      </c>
      <c r="K7" s="15">
        <v>3</v>
      </c>
      <c r="L7" s="15">
        <v>730</v>
      </c>
      <c r="M7" s="15">
        <f t="shared" si="3"/>
        <v>772</v>
      </c>
      <c r="N7" s="8" t="s">
        <v>24</v>
      </c>
      <c r="O7" s="15">
        <f t="shared" si="4"/>
        <v>2190</v>
      </c>
      <c r="P7" s="15">
        <f t="shared" si="5"/>
        <v>2316</v>
      </c>
      <c r="Q7" s="18">
        <f t="shared" si="6"/>
        <v>1.44</v>
      </c>
    </row>
    <row r="8" spans="1:18" ht="50.25" customHeight="1" x14ac:dyDescent="0.15">
      <c r="A8" s="15">
        <v>5</v>
      </c>
      <c r="B8" s="8" t="s">
        <v>26</v>
      </c>
      <c r="C8" s="16" t="s">
        <v>23</v>
      </c>
      <c r="D8" s="19">
        <v>9461</v>
      </c>
      <c r="E8" s="18" t="s">
        <v>36</v>
      </c>
      <c r="F8" s="2">
        <f>G8*H8</f>
        <v>9600</v>
      </c>
      <c r="G8" s="15">
        <v>25</v>
      </c>
      <c r="H8" s="15">
        <f>I8*K8</f>
        <v>384</v>
      </c>
      <c r="I8" s="15">
        <v>32</v>
      </c>
      <c r="J8" s="15">
        <f>G8*I8</f>
        <v>800</v>
      </c>
      <c r="K8" s="15">
        <v>12</v>
      </c>
      <c r="L8" s="15">
        <v>544</v>
      </c>
      <c r="M8" s="15">
        <f>L8+42</f>
        <v>586</v>
      </c>
      <c r="N8" s="8" t="s">
        <v>25</v>
      </c>
      <c r="O8" s="15">
        <f>L8*K8</f>
        <v>6528</v>
      </c>
      <c r="P8" s="15">
        <f>M8*K8</f>
        <v>7032</v>
      </c>
      <c r="Q8" s="18">
        <f>0.48*K8</f>
        <v>5.76</v>
      </c>
    </row>
    <row r="9" spans="1:18" ht="35.25" customHeight="1" x14ac:dyDescent="0.15">
      <c r="A9" s="25" t="s">
        <v>18</v>
      </c>
      <c r="B9" s="25"/>
      <c r="C9" s="25"/>
      <c r="D9" s="3"/>
      <c r="E9" s="1"/>
      <c r="F9" s="3">
        <f>SUM(F4:F8)</f>
        <v>25000</v>
      </c>
      <c r="G9" s="3"/>
      <c r="H9" s="3">
        <f>SUM(H4:H8)</f>
        <v>720</v>
      </c>
      <c r="I9" s="3"/>
      <c r="J9" s="3"/>
      <c r="K9" s="3">
        <f>SUM(K4:K8)</f>
        <v>23</v>
      </c>
      <c r="L9" s="3"/>
      <c r="M9" s="3"/>
      <c r="N9" s="1"/>
      <c r="O9" s="3">
        <f>SUM(O4:O8)</f>
        <v>12996</v>
      </c>
      <c r="P9" s="3">
        <f>SUM(P4:P8)</f>
        <v>13950</v>
      </c>
      <c r="Q9" s="1">
        <f>SUM(Q4:Q8)</f>
        <v>10.87</v>
      </c>
      <c r="R9" s="12"/>
    </row>
    <row r="10" spans="1:18" ht="21" customHeight="1" x14ac:dyDescent="0.15">
      <c r="A10" s="5"/>
      <c r="B10" s="5"/>
      <c r="C10" s="5"/>
      <c r="E10" s="9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</row>
    <row r="11" spans="1:18" ht="21" customHeight="1" x14ac:dyDescent="0.15">
      <c r="A11" s="5"/>
      <c r="B11" s="6" t="s">
        <v>19</v>
      </c>
      <c r="C11" s="5" t="s">
        <v>20</v>
      </c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</row>
    <row r="12" spans="1:18" ht="18.75" x14ac:dyDescent="0.15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22" t="s">
        <v>21</v>
      </c>
      <c r="O12" s="22"/>
      <c r="P12" s="22"/>
      <c r="Q12" s="22"/>
    </row>
    <row r="13" spans="1:18" ht="18.75" x14ac:dyDescent="0.15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22">
        <v>45971</v>
      </c>
      <c r="O13" s="22"/>
      <c r="P13" s="22"/>
      <c r="Q13" s="22"/>
    </row>
    <row r="14" spans="1:18" x14ac:dyDescent="0.15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</row>
    <row r="15" spans="1:18" x14ac:dyDescent="0.15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</row>
    <row r="16" spans="1:18" x14ac:dyDescent="0.15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</row>
    <row r="17" spans="1:17" x14ac:dyDescent="0.15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</row>
    <row r="18" spans="1:17" x14ac:dyDescent="0.15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</row>
    <row r="19" spans="1:17" x14ac:dyDescent="0.15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</row>
    <row r="20" spans="1:17" x14ac:dyDescent="0.15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</row>
  </sheetData>
  <mergeCells count="4">
    <mergeCell ref="N13:Q13"/>
    <mergeCell ref="A1:Q1"/>
    <mergeCell ref="A9:C9"/>
    <mergeCell ref="N12:Q12"/>
  </mergeCells>
  <phoneticPr fontId="9" type="noConversion"/>
  <pageMargins left="0" right="0" top="0" bottom="0" header="0.31496062992125984" footer="0.31496062992125984"/>
  <pageSetup paperSize="9" orientation="landscape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</dc:creator>
  <cp:lastModifiedBy>lu@sudelan.cn</cp:lastModifiedBy>
  <cp:lastPrinted>2025-01-13T08:08:47Z</cp:lastPrinted>
  <dcterms:created xsi:type="dcterms:W3CDTF">2006-09-13T11:21:00Z</dcterms:created>
  <dcterms:modified xsi:type="dcterms:W3CDTF">2025-11-11T08:39:50Z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F7F178623D784356B7B93CB6124DFB16_13</vt:lpwstr>
  </property>
  <property fmtid="{D5CDD505-2E9C-101B-9397-08002B2CF9AE}" pid="3" name="KSOProductBuildVer">
    <vt:lpwstr>2052-12.1.0.18240</vt:lpwstr>
  </property>
</Properties>
</file>