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锦好\勾头道钉150000件 9-4\"/>
    </mc:Choice>
  </mc:AlternateContent>
  <xr:revisionPtr revIDLastSave="0" documentId="8_{B91C4F57-6FD8-4290-8E76-67472CD9CB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Q3" i="1" l="1"/>
  <c r="Q4" i="1" s="1"/>
  <c r="P3" i="1"/>
  <c r="P4" i="1" s="1"/>
  <c r="O3" i="1"/>
  <c r="O4" i="1" s="1"/>
  <c r="J3" i="1"/>
  <c r="F3" i="1" s="1"/>
  <c r="F4" i="1" s="1"/>
  <c r="H3" i="1"/>
  <c r="H4" i="1" s="1"/>
</calcChain>
</file>

<file path=xl/sharedStrings.xml><?xml version="1.0" encoding="utf-8"?>
<sst xmlns="http://schemas.openxmlformats.org/spreadsheetml/2006/main" count="24" uniqueCount="24">
  <si>
    <t>PACKING DETAILS
包装明细表</t>
  </si>
  <si>
    <t xml:space="preserve">
No</t>
  </si>
  <si>
    <t xml:space="preserve">
Name
品名</t>
  </si>
  <si>
    <t xml:space="preserve">
Spec.</t>
  </si>
  <si>
    <t xml:space="preserve">
PO
合同</t>
  </si>
  <si>
    <t xml:space="preserve">
pallet No.
托号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</si>
  <si>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</si>
  <si>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</si>
  <si>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</si>
  <si>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/pallet
袋/箱</t>
  </si>
  <si>
    <t>Pieces
/pallet
件/箱</t>
  </si>
  <si>
    <t xml:space="preserve">
pallet
托</t>
  </si>
  <si>
    <t>Net weight
NW/pallet
（KG）
净重</t>
  </si>
  <si>
    <t>Gross weight
GW/pallet
（KG）
总重</t>
  </si>
  <si>
    <t>Dimensions (mm) and volume (m3) / pallet
托盘尺寸</t>
  </si>
  <si>
    <t>Total Net weight
NW
（KG）
总净重</t>
  </si>
  <si>
    <t>Total Gross weight
GW
(KG）
总毛重</t>
  </si>
  <si>
    <t xml:space="preserve">
Volume M³
总体积</t>
  </si>
  <si>
    <t>勾头道钉
Dog spike</t>
  </si>
  <si>
    <t>16x16x170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</si>
  <si>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</si>
  <si>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</si>
  <si>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25JH-25198</t>
    <phoneticPr fontId="13" type="noConversion"/>
  </si>
  <si>
    <t>1-35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</si>
</sst>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58" fontId="12" fillId="0" borderId="2" xfId="0" quotePrefix="1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"/>
  <sheetViews>
    <sheetView tabSelected="1" workbookViewId="0">
      <selection activeCell="E8" sqref="E8"/>
    </sheetView>
  </sheetViews>
  <sheetFormatPr defaultColWidth="8.75" defaultRowHeight="13.5"/>
  <cols>
    <col min="1" max="1" width="4.625" customWidth="1"/>
    <col min="2" max="2" width="8.7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spans="1:17" ht="57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80.099999999999994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52.5" customHeight="1">
      <c r="A3" s="4">
        <v>1</v>
      </c>
      <c r="B3" s="5" t="s">
        <v>18</v>
      </c>
      <c r="C3" s="6" t="s">
        <v>19</v>
      </c>
      <c r="D3" s="15" t="s">
        <v>22</v>
      </c>
      <c r="E3" s="21" t="s">
        <v>23</v>
      </c>
      <c r="F3" s="4">
        <f>J3*K3</f>
        <v>70000</v>
      </c>
      <c r="G3" s="6">
        <v>50</v>
      </c>
      <c r="H3" s="4">
        <f>I3*K3</f>
        <v>1400</v>
      </c>
      <c r="I3" s="4">
        <v>40</v>
      </c>
      <c r="J3" s="4">
        <f>I3*G3</f>
        <v>2000</v>
      </c>
      <c r="K3" s="4">
        <v>35</v>
      </c>
      <c r="L3" s="4">
        <v>668</v>
      </c>
      <c r="M3" s="4">
        <v>710</v>
      </c>
      <c r="N3" s="14" t="s">
        <v>20</v>
      </c>
      <c r="O3" s="4">
        <f>L3*K3</f>
        <v>23380</v>
      </c>
      <c r="P3" s="4">
        <f>M3*K3</f>
        <v>24850</v>
      </c>
      <c r="Q3" s="4">
        <f>0.53*K3</f>
        <v>18.55</v>
      </c>
    </row>
    <row r="4" spans="1:17" ht="57" customHeight="1">
      <c r="A4" s="16" t="s">
        <v>21</v>
      </c>
      <c r="B4" s="16"/>
      <c r="C4" s="16"/>
      <c r="D4" s="8"/>
      <c r="E4" s="7"/>
      <c r="F4" s="7">
        <f>SUM(F3:F3)</f>
        <v>70000</v>
      </c>
      <c r="G4" s="7"/>
      <c r="H4" s="7">
        <f>SUM(H3:H3)</f>
        <v>1400</v>
      </c>
      <c r="I4" s="7"/>
      <c r="J4" s="7"/>
      <c r="K4" s="7">
        <f>SUM(K3:K3)</f>
        <v>35</v>
      </c>
      <c r="L4" s="7"/>
      <c r="M4" s="7"/>
      <c r="N4" s="7"/>
      <c r="O4" s="7">
        <f>SUM(O3:O3)</f>
        <v>23380</v>
      </c>
      <c r="P4" s="7">
        <f>SUM(P3:P3)</f>
        <v>24850</v>
      </c>
      <c r="Q4" s="7">
        <f>SUM(Q3:Q3)</f>
        <v>18.55</v>
      </c>
    </row>
    <row r="5" spans="1:17" ht="14.45" customHeight="1">
      <c r="A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21" customHeight="1">
      <c r="A6" s="9"/>
      <c r="B6" s="10"/>
      <c r="C6" s="11"/>
      <c r="N6" s="9"/>
      <c r="O6" s="9"/>
      <c r="P6" s="9"/>
      <c r="Q6" s="9"/>
    </row>
    <row r="7" spans="1:17" ht="21" customHeight="1">
      <c r="A7" s="9"/>
      <c r="B7" s="10"/>
      <c r="C7" s="1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8.75">
      <c r="A8" s="9"/>
      <c r="B8" s="9"/>
      <c r="C8" s="12"/>
      <c r="D8" s="9"/>
      <c r="E8" s="9"/>
      <c r="F8" s="9"/>
      <c r="G8" s="9"/>
      <c r="H8" s="9"/>
      <c r="I8" s="9"/>
      <c r="J8" s="9"/>
      <c r="K8" s="9"/>
      <c r="L8" s="9"/>
      <c r="M8" s="9"/>
      <c r="N8" s="17">
        <v>45973</v>
      </c>
      <c r="O8" s="17"/>
      <c r="P8" s="17"/>
      <c r="Q8" s="17"/>
    </row>
    <row r="9" spans="1:17" ht="18.75">
      <c r="A9" s="9"/>
      <c r="B9" s="9"/>
      <c r="C9" s="12"/>
      <c r="D9" s="9"/>
      <c r="E9" s="9"/>
      <c r="F9" s="9"/>
      <c r="G9" s="9"/>
      <c r="H9" s="9"/>
      <c r="I9" s="9"/>
      <c r="J9" s="9"/>
      <c r="K9" s="9"/>
      <c r="L9" s="9"/>
      <c r="M9" s="9"/>
      <c r="N9" s="18"/>
      <c r="O9" s="18"/>
      <c r="P9" s="18"/>
      <c r="Q9" s="18"/>
    </row>
    <row r="10" spans="1:17">
      <c r="A10" s="13"/>
      <c r="B10" s="13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/>
      <c r="B11" s="13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/>
      <c r="B12" s="13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</sheetData>
  <mergeCells count="4">
    <mergeCell ref="A1:Q1"/>
    <mergeCell ref="A4:C4"/>
    <mergeCell ref="N8:Q8"/>
    <mergeCell ref="N9:Q9"/>
  </mergeCells>
  <phoneticPr fontId="13" type="noConversion"/>
  <pageMargins left="0.90551181102362199" right="0.511811023622047" top="0.196850393700787" bottom="0.74803149606299202" header="0.31496062992126" footer="0.31496062992126"/>
  <pageSetup paperSize="9" scale="9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2025-11-12T06:03:33Z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