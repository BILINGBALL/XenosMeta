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8CAD811E-813C-4F96-8153-8FE65D956C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O3" i="1" s="1"/>
  <c r="J4" i="1"/>
  <c r="P3" i="1"/>
  <c r="N3" i="1"/>
  <c r="I3" i="1"/>
  <c r="F3" i="1" s="1"/>
  <c r="P4" i="1" l="1"/>
  <c r="F4" i="1"/>
  <c r="N4" i="1"/>
  <c r="O4" i="1"/>
</calcChain>
</file>

<file path=xl/sharedStrings.xml><?xml version="1.0" encoding="utf-8"?>
<sst xmlns="http://schemas.openxmlformats.org/spreadsheetml/2006/main" count="24" uniqueCount="24">
  <si>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</si>
  <si>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</si>
  <si>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</si>
  <si>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</si>
  <si>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</si>
  <si>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</si>
  <si>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</si>
  <si>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</si>
  <si>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</si>
  <si>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</si>
  <si>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</si>
  <si>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</si>
  <si>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</si>
  <si>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</si>
  <si>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</si>
  <si>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</si>
  <si>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</si>
  <si>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T型螺栓配螺母</t>
  </si>
  <si>
    <t>7/8*90</t>
  </si>
  <si>
    <t>1200*800*350
0.34</t>
  </si>
  <si>
    <t>合计</t>
  </si>
  <si>
    <t>唛头：</t>
  </si>
  <si>
    <t>苏州苏德兰铁路配套有限公司</t>
  </si>
  <si>
    <t>CON-25JH-EXP-25126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</si>
</sst>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0_);[Red]\(0\)"/>
    <numFmt numFmtId="178" formatCode="0.000_);[Red]\(0.000\)"/>
    <numFmt numFmtId="179" formatCode="0.00_);[Red]\(0.00\)"/>
  </numFmts>
  <fonts count="8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18">
    <xf numFmtId="176" fontId="0" fillId="0" borderId="0" xfId="0">
      <alignment vertical="center"/>
    </xf>
    <xf numFmtId="177" fontId="2" fillId="0" borderId="3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176" fontId="2" fillId="0" borderId="0" xfId="0" applyFont="1" applyAlignment="1">
      <alignment horizontal="center" vertical="center"/>
    </xf>
    <xf numFmtId="176" fontId="4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6" fontId="4" fillId="0" borderId="0" xfId="0" applyFont="1" applyAlignment="1">
      <alignment horizontal="right" vertical="center"/>
    </xf>
    <xf numFmtId="177" fontId="2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177" fontId="2" fillId="2" borderId="3" xfId="0" applyNumberFormat="1" applyFont="1" applyFill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179" fontId="2" fillId="0" borderId="3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 wrapText="1"/>
    </xf>
    <xf numFmtId="176" fontId="1" fillId="0" borderId="1" xfId="0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6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5"/>
  <sheetViews>
    <sheetView tabSelected="1" workbookViewId="0">
      <selection activeCell="K8" sqref="K8"/>
    </sheetView>
  </sheetViews>
  <sheetFormatPr defaultColWidth="9" defaultRowHeight="13.5" x14ac:dyDescent="0.15"/>
  <cols>
    <col min="1" max="1" width="4.625" customWidth="1"/>
    <col min="2" max="3" width="9.125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spans="1:16" ht="65.25" customHeight="1" x14ac:dyDescent="0.1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30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8" t="s">
        <v>11</v>
      </c>
      <c r="L2" s="8" t="s">
        <v>12</v>
      </c>
      <c r="M2" s="1" t="s">
        <v>13</v>
      </c>
      <c r="N2" s="8" t="s">
        <v>14</v>
      </c>
      <c r="O2" s="8" t="s">
        <v>15</v>
      </c>
      <c r="P2" s="8" t="s">
        <v>16</v>
      </c>
    </row>
    <row r="3" spans="1:16" ht="45" customHeight="1" x14ac:dyDescent="0.15">
      <c r="A3" s="1">
        <v>1</v>
      </c>
      <c r="B3" s="9" t="s">
        <v>17</v>
      </c>
      <c r="C3" s="8" t="s">
        <v>18</v>
      </c>
      <c r="D3" s="14" t="s">
        <v>23</v>
      </c>
      <c r="E3" s="10"/>
      <c r="F3" s="1">
        <f t="shared" ref="F3" si="0">I3*J3</f>
        <v>30000</v>
      </c>
      <c r="G3" s="1">
        <v>25</v>
      </c>
      <c r="H3" s="1">
        <v>40</v>
      </c>
      <c r="I3" s="1">
        <f t="shared" ref="I3" si="1">G3*H3</f>
        <v>1000</v>
      </c>
      <c r="J3" s="1">
        <v>30</v>
      </c>
      <c r="K3" s="1">
        <v>434</v>
      </c>
      <c r="L3" s="1">
        <f>K3+34</f>
        <v>468</v>
      </c>
      <c r="M3" s="11" t="s">
        <v>19</v>
      </c>
      <c r="N3" s="1">
        <f>K3*J3</f>
        <v>13020</v>
      </c>
      <c r="O3" s="1">
        <f>L3*J3</f>
        <v>14040</v>
      </c>
      <c r="P3" s="12">
        <f>0.34*J3</f>
        <v>10.200000000000001</v>
      </c>
    </row>
    <row r="4" spans="1:16" ht="36" customHeight="1" x14ac:dyDescent="0.15">
      <c r="A4" s="16" t="s">
        <v>20</v>
      </c>
      <c r="B4" s="16"/>
      <c r="C4" s="16"/>
      <c r="D4" s="1"/>
      <c r="E4" s="1"/>
      <c r="F4" s="1">
        <f>SUM(F3:F3)</f>
        <v>30000</v>
      </c>
      <c r="G4" s="1"/>
      <c r="H4" s="1"/>
      <c r="I4" s="1"/>
      <c r="J4" s="1">
        <f>SUM(J3:J3)</f>
        <v>30</v>
      </c>
      <c r="K4" s="1"/>
      <c r="L4" s="1"/>
      <c r="M4" s="1"/>
      <c r="N4" s="1">
        <f>SUM(N3:N3)</f>
        <v>13020</v>
      </c>
      <c r="O4" s="1">
        <f>SUM(O3:O3)</f>
        <v>14040</v>
      </c>
      <c r="P4" s="12">
        <f>SUM(P3:P3)</f>
        <v>10.200000000000001</v>
      </c>
    </row>
    <row r="5" spans="1:16" ht="21" customHeight="1" x14ac:dyDescent="0.15">
      <c r="A5" s="2"/>
      <c r="B5" s="2"/>
      <c r="C5" s="13"/>
      <c r="D5" s="13"/>
      <c r="E5" s="2"/>
      <c r="F5" s="3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21" customHeight="1" x14ac:dyDescent="0.15">
      <c r="A6" s="4"/>
      <c r="B6" s="4" t="s">
        <v>21</v>
      </c>
      <c r="C6" s="13"/>
      <c r="D6" s="13"/>
      <c r="E6" s="5"/>
      <c r="F6" s="5"/>
      <c r="G6" s="5"/>
      <c r="H6" s="5"/>
      <c r="I6" s="5"/>
      <c r="J6" s="5"/>
      <c r="K6" s="5"/>
      <c r="L6" s="5"/>
      <c r="M6" s="4"/>
      <c r="N6" s="4"/>
      <c r="O6" s="4"/>
      <c r="P6" s="4"/>
    </row>
    <row r="7" spans="1:16" ht="14.25" x14ac:dyDescent="0.15">
      <c r="A7" s="4"/>
      <c r="B7" s="4"/>
      <c r="C7" s="13"/>
      <c r="D7" s="13"/>
      <c r="E7" s="5"/>
      <c r="F7" s="5"/>
      <c r="G7" s="5"/>
      <c r="H7" s="5"/>
      <c r="I7" s="5"/>
      <c r="J7" s="5"/>
      <c r="K7" s="5"/>
      <c r="L7" s="5"/>
      <c r="M7" s="17" t="s">
        <v>22</v>
      </c>
      <c r="N7" s="17"/>
      <c r="O7" s="17"/>
      <c r="P7" s="17"/>
    </row>
    <row r="8" spans="1:16" ht="14.25" x14ac:dyDescent="0.15">
      <c r="A8" s="4"/>
      <c r="B8" s="4"/>
      <c r="C8" s="13"/>
      <c r="D8" s="13"/>
      <c r="E8" s="5"/>
      <c r="F8" s="5"/>
      <c r="G8" s="5"/>
      <c r="H8" s="5"/>
      <c r="I8" s="5"/>
      <c r="J8" s="5"/>
      <c r="K8" s="5"/>
      <c r="L8" s="5"/>
      <c r="M8" s="17">
        <v>45903</v>
      </c>
      <c r="N8" s="17"/>
      <c r="O8" s="17"/>
      <c r="P8" s="17"/>
    </row>
    <row r="9" spans="1:16" x14ac:dyDescent="0.15">
      <c r="A9" s="6"/>
      <c r="B9" s="6"/>
      <c r="C9" s="7"/>
      <c r="D9" s="5"/>
      <c r="E9" s="5"/>
      <c r="F9" s="5"/>
      <c r="G9" s="5"/>
      <c r="H9" s="5"/>
      <c r="I9" s="5"/>
      <c r="J9" s="5"/>
      <c r="K9" s="5"/>
      <c r="L9" s="5"/>
      <c r="N9" s="6"/>
      <c r="O9" s="6"/>
      <c r="P9" s="6"/>
    </row>
    <row r="10" spans="1:16" x14ac:dyDescent="0.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1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1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</sheetData>
  <mergeCells count="4">
    <mergeCell ref="A1:P1"/>
    <mergeCell ref="A4:C4"/>
    <mergeCell ref="M7:P7"/>
    <mergeCell ref="M8:P8"/>
  </mergeCells>
  <phoneticPr fontId="6" type="noConversion"/>
  <pageMargins left="0.7" right="0.7" top="0.75" bottom="0.75" header="0.3" footer="0.3"/>
  <pageSetup paperSize="9" scale="76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2025-09-03T08:20:02Z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81C0E49224E14990B0B65A48853F02BA_12</vt:lpwstr>
  </property>
  <property fmtid="{D5CDD505-2E9C-101B-9397-08002B2CF9AE}" pid="3" name="KSOProductBuildVer">
    <vt:lpwstr>2052-12.1.0.15712</vt:lpwstr>
  </property>
</Properties>
</file>