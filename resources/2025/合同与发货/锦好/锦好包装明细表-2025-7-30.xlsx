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锦好\"/>
    </mc:Choice>
  </mc:AlternateContent>
  <xr:revisionPtr revIDLastSave="0" documentId="13_ncr:1_{FD3EE58C-2BAF-4BC1-A8A5-3F819EACD4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Q8" i="1" l="1"/>
  <c r="O8" i="1"/>
  <c r="M8" i="1"/>
  <c r="P8" i="1" s="1"/>
  <c r="J8" i="1"/>
  <c r="F8" i="1" s="1"/>
  <c r="H8" i="1"/>
  <c r="M5" i="1"/>
  <c r="P5" i="1" s="1"/>
  <c r="M6" i="1"/>
  <c r="P6" i="1" s="1"/>
  <c r="M7" i="1"/>
  <c r="P7" i="1" s="1"/>
  <c r="M4" i="1"/>
  <c r="P4" i="1" s="1"/>
  <c r="Q7" i="1"/>
  <c r="O7" i="1"/>
  <c r="Q6" i="1"/>
  <c r="O6" i="1"/>
  <c r="J6" i="1"/>
  <c r="F6" i="1" s="1"/>
  <c r="J7" i="1"/>
  <c r="F7" i="1" s="1"/>
  <c r="H6" i="1"/>
  <c r="H7" i="1"/>
  <c r="Q5" i="1"/>
  <c r="O5" i="1"/>
  <c r="Q4" i="1"/>
  <c r="O4" i="1"/>
  <c r="J5" i="1"/>
  <c r="F5" i="1" s="1"/>
  <c r="H5" i="1"/>
  <c r="J4" i="1"/>
  <c r="F4" i="1" s="1"/>
  <c r="H4" i="1"/>
  <c r="Q3" i="1" l="1"/>
  <c r="Q9" i="1" s="1"/>
  <c r="P3" i="1"/>
  <c r="P9" i="1" s="1"/>
  <c r="O3" i="1"/>
  <c r="O9" i="1" s="1"/>
  <c r="J3" i="1"/>
  <c r="F3" i="1" s="1"/>
  <c r="F9" i="1" s="1"/>
  <c r="H3" i="1"/>
  <c r="H9" i="1" s="1"/>
</calcChain>
</file>

<file path=xl/sharedStrings.xml><?xml version="1.0" encoding="utf-8"?>
<sst xmlns="http://schemas.openxmlformats.org/spreadsheetml/2006/main" count="36" uniqueCount="29">
  <si>
    <t>PACKING DETAILS
包装明细表</t>
  </si>
  <si>
    <t xml:space="preserve">
No</t>
  </si>
  <si>
    <t xml:space="preserve">
Name
品名</t>
  </si>
  <si>
    <t xml:space="preserve">
Spec.</t>
  </si>
  <si>
    <t xml:space="preserve">
PO
合同</t>
  </si>
  <si>
    <t xml:space="preserve">
pallet No.
托号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</si>
  <si>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Quantity数量</t>
    </r>
  </si>
  <si>
    <t xml:space="preserve">
Pieces
/bag     (*)
件/包</t>
  </si>
  <si>
    <t xml:space="preserve">
Bags
总袋数</t>
  </si>
  <si>
    <t xml:space="preserve">
Bags
/pallet
袋/箱</t>
  </si>
  <si>
    <t>Pieces
/pallet
件/箱</t>
  </si>
  <si>
    <t xml:space="preserve">
pallet
托</t>
  </si>
  <si>
    <t>Net weight
NW/pallet
（KG）
净重</t>
  </si>
  <si>
    <t>Gross weight
GW/pallet
（KG）
总重</t>
  </si>
  <si>
    <t>Dimensions (mm) and volume (m3) / pallet
托盘尺寸</t>
  </si>
  <si>
    <t>Total Net weight
NW
（KG）
总净重</t>
  </si>
  <si>
    <t>Total Gross weight
GW
(KG）
总毛重</t>
  </si>
  <si>
    <t xml:space="preserve">
Volume M³
总体积</t>
  </si>
  <si>
    <t>勾头道钉
Dog spike</t>
  </si>
  <si>
    <t>16x16x170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</si>
  <si>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</si>
  <si>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</si>
  <si>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螺栓</t>
  </si>
  <si>
    <t>UNC
7/8*115</t>
    <phoneticPr fontId="13" type="noConversion"/>
  </si>
  <si>
    <t>CON-25JH-EXP-25113</t>
    <phoneticPr fontId="13" type="noConversion"/>
  </si>
  <si>
    <t>UNC
1*118</t>
    <phoneticPr fontId="13" type="noConversion"/>
  </si>
  <si>
    <t>CON-25JH-EXP-25134</t>
    <phoneticPr fontId="13" type="noConversion"/>
  </si>
  <si>
    <t>7/8*125</t>
    <phoneticPr fontId="13" type="noConversion"/>
  </si>
  <si>
    <t>CON-25JH-EXP-25130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</si>
</sst>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58" fontId="5" fillId="0" borderId="2" xfId="0" quotePrefix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58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1"/>
  <sheetViews>
    <sheetView tabSelected="1" topLeftCell="A4" workbookViewId="0">
      <selection activeCell="O9" sqref="O9"/>
    </sheetView>
  </sheetViews>
  <sheetFormatPr defaultColWidth="8.75" defaultRowHeight="13.5"/>
  <cols>
    <col min="1" max="1" width="4.625" customWidth="1"/>
    <col min="2" max="2" width="8.75" customWidth="1"/>
    <col min="3" max="3" width="9.5" customWidth="1"/>
    <col min="4" max="4" width="8.375" customWidth="1"/>
    <col min="5" max="5" width="12.25" customWidth="1"/>
    <col min="6" max="6" width="7.75" customWidth="1"/>
    <col min="7" max="7" width="7.12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23" max="23" width="12.625"/>
  </cols>
  <sheetData>
    <row r="1" spans="1:17" ht="57.95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80.099999999999994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52.5" customHeight="1">
      <c r="A3" s="4">
        <v>1</v>
      </c>
      <c r="B3" s="5" t="s">
        <v>18</v>
      </c>
      <c r="C3" s="6" t="s">
        <v>19</v>
      </c>
      <c r="D3" s="6">
        <v>25074</v>
      </c>
      <c r="E3" s="15"/>
      <c r="F3" s="4">
        <f>J3*K3</f>
        <v>34000</v>
      </c>
      <c r="G3" s="6">
        <v>50</v>
      </c>
      <c r="H3" s="4">
        <f>I3*K3</f>
        <v>680</v>
      </c>
      <c r="I3" s="4">
        <v>40</v>
      </c>
      <c r="J3" s="4">
        <f>I3*G3</f>
        <v>2000</v>
      </c>
      <c r="K3" s="4">
        <v>17</v>
      </c>
      <c r="L3" s="4">
        <v>668</v>
      </c>
      <c r="M3" s="4">
        <v>710</v>
      </c>
      <c r="N3" s="14" t="s">
        <v>20</v>
      </c>
      <c r="O3" s="4">
        <f>L3*K3</f>
        <v>11356</v>
      </c>
      <c r="P3" s="4">
        <f>M3*K3</f>
        <v>12070</v>
      </c>
      <c r="Q3" s="4">
        <f>0.53*K3</f>
        <v>9.01</v>
      </c>
    </row>
    <row r="4" spans="1:17" ht="40.5" customHeight="1">
      <c r="A4" s="24">
        <v>2</v>
      </c>
      <c r="B4" s="21" t="s">
        <v>22</v>
      </c>
      <c r="C4" s="21" t="s">
        <v>23</v>
      </c>
      <c r="D4" s="21" t="s">
        <v>24</v>
      </c>
      <c r="E4" s="15"/>
      <c r="F4" s="4">
        <f t="shared" ref="F4:F7" si="0">J4*K4</f>
        <v>4000</v>
      </c>
      <c r="G4" s="6">
        <v>25</v>
      </c>
      <c r="H4" s="4">
        <f>I4*K4</f>
        <v>160</v>
      </c>
      <c r="I4" s="4">
        <v>40</v>
      </c>
      <c r="J4" s="4">
        <f>I4*G4</f>
        <v>1000</v>
      </c>
      <c r="K4" s="7">
        <v>4</v>
      </c>
      <c r="L4" s="4">
        <v>670</v>
      </c>
      <c r="M4" s="4">
        <f>L4+42</f>
        <v>712</v>
      </c>
      <c r="N4" s="14" t="s">
        <v>20</v>
      </c>
      <c r="O4" s="4">
        <f t="shared" ref="O4:O5" si="1">L4*K4</f>
        <v>2680</v>
      </c>
      <c r="P4" s="4">
        <f t="shared" ref="P4:P5" si="2">M4*K4</f>
        <v>2848</v>
      </c>
      <c r="Q4" s="4">
        <f t="shared" ref="Q4:Q5" si="3">0.53*K4</f>
        <v>2.12</v>
      </c>
    </row>
    <row r="5" spans="1:17" ht="40.5" customHeight="1">
      <c r="A5" s="25"/>
      <c r="B5" s="22"/>
      <c r="C5" s="22"/>
      <c r="D5" s="23"/>
      <c r="E5" s="15"/>
      <c r="F5" s="4">
        <f t="shared" si="0"/>
        <v>1050</v>
      </c>
      <c r="G5" s="6">
        <v>25</v>
      </c>
      <c r="H5" s="4">
        <f>I5*K5</f>
        <v>42</v>
      </c>
      <c r="I5" s="4">
        <v>42</v>
      </c>
      <c r="J5" s="4">
        <f>I5*G5</f>
        <v>1050</v>
      </c>
      <c r="K5" s="7">
        <v>1</v>
      </c>
      <c r="L5" s="4">
        <v>704</v>
      </c>
      <c r="M5" s="4">
        <f t="shared" ref="M5:M8" si="4">L5+42</f>
        <v>746</v>
      </c>
      <c r="N5" s="14" t="s">
        <v>20</v>
      </c>
      <c r="O5" s="4">
        <f t="shared" si="1"/>
        <v>704</v>
      </c>
      <c r="P5" s="4">
        <f t="shared" si="2"/>
        <v>746</v>
      </c>
      <c r="Q5" s="4">
        <f t="shared" si="3"/>
        <v>0.53</v>
      </c>
    </row>
    <row r="6" spans="1:17" ht="52.5" customHeight="1">
      <c r="A6" s="24">
        <v>3</v>
      </c>
      <c r="B6" s="21" t="s">
        <v>22</v>
      </c>
      <c r="C6" s="21" t="s">
        <v>25</v>
      </c>
      <c r="D6" s="21" t="s">
        <v>26</v>
      </c>
      <c r="E6" s="15"/>
      <c r="F6" s="4">
        <f t="shared" si="0"/>
        <v>14000</v>
      </c>
      <c r="G6" s="6">
        <v>25</v>
      </c>
      <c r="H6" s="4">
        <f t="shared" ref="H6:H7" si="5">I6*K6</f>
        <v>560</v>
      </c>
      <c r="I6" s="4">
        <v>40</v>
      </c>
      <c r="J6" s="4">
        <f t="shared" ref="J6:J7" si="6">I6*G6</f>
        <v>1000</v>
      </c>
      <c r="K6" s="4">
        <v>14</v>
      </c>
      <c r="L6" s="4">
        <v>802</v>
      </c>
      <c r="M6" s="4">
        <f t="shared" si="4"/>
        <v>844</v>
      </c>
      <c r="N6" s="14" t="s">
        <v>20</v>
      </c>
      <c r="O6" s="4">
        <f t="shared" ref="O6:O7" si="7">L6*K6</f>
        <v>11228</v>
      </c>
      <c r="P6" s="4">
        <f t="shared" ref="P6:P7" si="8">M6*K6</f>
        <v>11816</v>
      </c>
      <c r="Q6" s="4">
        <f t="shared" ref="Q6:Q7" si="9">0.53*K6</f>
        <v>7.42</v>
      </c>
    </row>
    <row r="7" spans="1:17" ht="52.5" customHeight="1">
      <c r="A7" s="25"/>
      <c r="B7" s="22"/>
      <c r="C7" s="22"/>
      <c r="D7" s="22"/>
      <c r="E7" s="15"/>
      <c r="F7" s="4">
        <f t="shared" si="0"/>
        <v>1075</v>
      </c>
      <c r="G7" s="6">
        <v>25</v>
      </c>
      <c r="H7" s="4">
        <f t="shared" si="5"/>
        <v>43</v>
      </c>
      <c r="I7" s="4">
        <v>43</v>
      </c>
      <c r="J7" s="4">
        <f t="shared" si="6"/>
        <v>1075</v>
      </c>
      <c r="K7" s="4">
        <v>1</v>
      </c>
      <c r="L7" s="4">
        <v>862</v>
      </c>
      <c r="M7" s="4">
        <f t="shared" si="4"/>
        <v>904</v>
      </c>
      <c r="N7" s="14" t="s">
        <v>20</v>
      </c>
      <c r="O7" s="4">
        <f t="shared" si="7"/>
        <v>862</v>
      </c>
      <c r="P7" s="4">
        <f t="shared" si="8"/>
        <v>904</v>
      </c>
      <c r="Q7" s="4">
        <f t="shared" si="9"/>
        <v>0.53</v>
      </c>
    </row>
    <row r="8" spans="1:17" ht="62.25" customHeight="1">
      <c r="A8" s="7">
        <v>4</v>
      </c>
      <c r="B8" s="17" t="s">
        <v>22</v>
      </c>
      <c r="C8" s="16" t="s">
        <v>27</v>
      </c>
      <c r="D8" s="16" t="s">
        <v>28</v>
      </c>
      <c r="E8" s="19"/>
      <c r="F8" s="7">
        <f t="shared" ref="F8" si="10">J8*K8</f>
        <v>10000</v>
      </c>
      <c r="G8" s="20">
        <v>25</v>
      </c>
      <c r="H8" s="7">
        <f t="shared" ref="H8" si="11">I8*K8</f>
        <v>400</v>
      </c>
      <c r="I8" s="7">
        <v>40</v>
      </c>
      <c r="J8" s="7">
        <f t="shared" ref="J8" si="12">I8*G8</f>
        <v>1000</v>
      </c>
      <c r="K8" s="7">
        <v>10</v>
      </c>
      <c r="L8" s="7">
        <v>790</v>
      </c>
      <c r="M8" s="7">
        <f t="shared" si="4"/>
        <v>832</v>
      </c>
      <c r="N8" s="18" t="s">
        <v>20</v>
      </c>
      <c r="O8" s="7">
        <f t="shared" ref="O8" si="13">L8*K8</f>
        <v>7900</v>
      </c>
      <c r="P8" s="4">
        <f t="shared" ref="P8" si="14">M8*K8</f>
        <v>8320</v>
      </c>
      <c r="Q8" s="4">
        <f t="shared" ref="Q8" si="15">0.53*K8</f>
        <v>5.3000000000000007</v>
      </c>
    </row>
    <row r="9" spans="1:17" ht="57" customHeight="1">
      <c r="A9" s="28" t="s">
        <v>21</v>
      </c>
      <c r="B9" s="28"/>
      <c r="C9" s="28"/>
      <c r="D9" s="8"/>
      <c r="E9" s="7"/>
      <c r="F9" s="7">
        <f>SUM(F3:F8)</f>
        <v>64125</v>
      </c>
      <c r="G9" s="7"/>
      <c r="H9" s="7">
        <f>SUM(H3:H8)</f>
        <v>1885</v>
      </c>
      <c r="I9" s="7"/>
      <c r="J9" s="7"/>
      <c r="K9" s="7">
        <f>SUM(K3:K8)</f>
        <v>47</v>
      </c>
      <c r="L9" s="7"/>
      <c r="M9" s="7"/>
      <c r="N9" s="7"/>
      <c r="O9" s="7">
        <f>SUM(O3:O8)</f>
        <v>34730</v>
      </c>
      <c r="P9" s="7">
        <f>SUM(P3:P8)</f>
        <v>36704</v>
      </c>
      <c r="Q9" s="7">
        <f>SUM(Q3:Q8)</f>
        <v>24.91</v>
      </c>
    </row>
    <row r="10" spans="1:17" ht="14.45" customHeight="1">
      <c r="A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ht="21" customHeight="1">
      <c r="A11" s="9"/>
      <c r="B11" s="10"/>
      <c r="C11" s="11"/>
      <c r="N11" s="9"/>
      <c r="O11" s="9"/>
      <c r="P11" s="9"/>
      <c r="Q11" s="9"/>
    </row>
    <row r="12" spans="1:17" ht="21" customHeight="1">
      <c r="A12" s="9"/>
      <c r="B12" s="10"/>
      <c r="C12" s="12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ht="18.75">
      <c r="A13" s="9"/>
      <c r="B13" s="9"/>
      <c r="C13" s="12"/>
      <c r="D13" s="9"/>
      <c r="E13" s="9"/>
      <c r="F13" s="9"/>
      <c r="G13" s="9"/>
      <c r="H13" s="9"/>
      <c r="I13" s="9"/>
      <c r="J13" s="9"/>
      <c r="K13" s="9"/>
      <c r="L13" s="9"/>
      <c r="M13" s="9"/>
      <c r="N13" s="29">
        <v>45868</v>
      </c>
      <c r="O13" s="29"/>
      <c r="P13" s="29"/>
      <c r="Q13" s="29"/>
    </row>
    <row r="14" spans="1:17" ht="18.75">
      <c r="A14" s="9"/>
      <c r="B14" s="9"/>
      <c r="C14" s="12"/>
      <c r="D14" s="9"/>
      <c r="E14" s="9"/>
      <c r="F14" s="9"/>
      <c r="G14" s="9"/>
      <c r="H14" s="9"/>
      <c r="I14" s="9"/>
      <c r="J14" s="9"/>
      <c r="K14" s="9"/>
      <c r="L14" s="9"/>
      <c r="M14" s="9"/>
      <c r="N14" s="30"/>
      <c r="O14" s="30"/>
      <c r="P14" s="30"/>
      <c r="Q14" s="30"/>
    </row>
    <row r="15" spans="1:17">
      <c r="A15" s="13"/>
      <c r="B15" s="13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13"/>
      <c r="B16" s="13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13"/>
      <c r="B17" s="13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</sheetData>
  <mergeCells count="12">
    <mergeCell ref="A9:C9"/>
    <mergeCell ref="N13:Q13"/>
    <mergeCell ref="N14:Q14"/>
    <mergeCell ref="B4:B5"/>
    <mergeCell ref="C4:C5"/>
    <mergeCell ref="A4:A5"/>
    <mergeCell ref="B6:B7"/>
    <mergeCell ref="C6:C7"/>
    <mergeCell ref="D4:D5"/>
    <mergeCell ref="D6:D7"/>
    <mergeCell ref="A6:A7"/>
    <mergeCell ref="A1:Q1"/>
  </mergeCells>
  <phoneticPr fontId="13" type="noConversion"/>
  <pageMargins left="0.90551181102362199" right="0.511811023622047" top="0.196850393700787" bottom="0.74803149606299202" header="0.31496062992126" footer="0.31496062992126"/>
  <pageSetup paperSize="9" scale="9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2025-07-30T07:09:58Z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B2BADA30BFA84D8E9E0840C12BEFC0B4_12</vt:lpwstr>
  </property>
  <property fmtid="{D5CDD505-2E9C-101B-9397-08002B2CF9AE}" pid="3" name="KSOProductBuildVer">
    <vt:lpwstr>2052-12.1.0.21541</vt:lpwstr>
  </property>
</Properties>
</file>