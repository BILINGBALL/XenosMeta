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"/>
    </mc:Choice>
  </mc:AlternateContent>
  <xr:revisionPtr revIDLastSave="0" documentId="8_{850ED780-AE8D-4967-978C-1BEDCF15C1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P4" i="1"/>
  <c r="O4" i="1"/>
  <c r="M4" i="1"/>
  <c r="J4" i="1"/>
  <c r="H4" i="1"/>
  <c r="F4" i="1"/>
  <c r="K10" i="1"/>
  <c r="Q9" i="1" l="1"/>
  <c r="O9" i="1"/>
  <c r="M9" i="1"/>
  <c r="P9" i="1" s="1"/>
  <c r="J9" i="1"/>
  <c r="F9" i="1" s="1"/>
  <c r="H9" i="1"/>
  <c r="M6" i="1"/>
  <c r="P6" i="1" s="1"/>
  <c r="M7" i="1"/>
  <c r="P7" i="1" s="1"/>
  <c r="M8" i="1"/>
  <c r="P8" i="1" s="1"/>
  <c r="M5" i="1"/>
  <c r="P5" i="1" s="1"/>
  <c r="Q8" i="1"/>
  <c r="O8" i="1"/>
  <c r="Q7" i="1"/>
  <c r="O7" i="1"/>
  <c r="J7" i="1"/>
  <c r="F7" i="1" s="1"/>
  <c r="J8" i="1"/>
  <c r="F8" i="1" s="1"/>
  <c r="H7" i="1"/>
  <c r="H8" i="1"/>
  <c r="Q6" i="1"/>
  <c r="O6" i="1"/>
  <c r="Q5" i="1"/>
  <c r="O5" i="1"/>
  <c r="J6" i="1"/>
  <c r="F6" i="1" s="1"/>
  <c r="H6" i="1"/>
  <c r="J5" i="1"/>
  <c r="F5" i="1" s="1"/>
  <c r="H5" i="1"/>
  <c r="Q3" i="1" l="1"/>
  <c r="Q10" i="1" s="1"/>
  <c r="P3" i="1"/>
  <c r="P10" i="1" s="1"/>
  <c r="O3" i="1"/>
  <c r="O10" i="1" s="1"/>
  <c r="J3" i="1"/>
  <c r="F3" i="1" s="1"/>
  <c r="F10" i="1" s="1"/>
  <c r="H3" i="1"/>
  <c r="H10" i="1" s="1"/>
</calcChain>
</file>

<file path=xl/sharedStrings.xml><?xml version="1.0" encoding="utf-8"?>
<sst xmlns="http://schemas.openxmlformats.org/spreadsheetml/2006/main" count="39" uniqueCount="30">
  <si>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</si>
  <si>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</si>
  <si>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</si>
  <si>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</si>
  <si>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</si>
  <si>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</si>
  <si>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</si>
  <si>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</si>
  <si>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</si>
  <si>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</si>
  <si>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</si>
  <si>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</si>
  <si>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</si>
  <si>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</si>
  <si>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</si>
  <si>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</si>
  <si>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</si>
  <si>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</si>
  <si>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勾头道钉
Dog spike</t>
  </si>
  <si>
    <t>16x16x170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</si>
  <si>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</si>
  <si>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</si>
  <si>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螺栓</t>
  </si>
  <si>
    <t>UNC
7/8*115</t>
    <phoneticPr fontId="13" type="noConversion"/>
  </si>
  <si>
    <t>CON-25JH-EXP-25113</t>
    <phoneticPr fontId="13" type="noConversion"/>
  </si>
  <si>
    <t>UNC
1*118</t>
    <phoneticPr fontId="13" type="noConversion"/>
  </si>
  <si>
    <t>CON-25JH-EXP-25134</t>
    <phoneticPr fontId="13" type="noConversion"/>
  </si>
  <si>
    <t>7/8*125</t>
    <phoneticPr fontId="13" type="noConversion"/>
  </si>
  <si>
    <t>CON-25JH-EXP-25130</t>
    <phoneticPr fontId="13" type="noConversion"/>
  </si>
  <si>
    <t>螺栓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</si>
</sst>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58" fontId="5" fillId="0" borderId="2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58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workbookViewId="0">
      <selection sqref="A1:Q1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80.099999999999994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2.5" customHeight="1">
      <c r="A3" s="4">
        <v>1</v>
      </c>
      <c r="B3" s="5" t="s">
        <v>18</v>
      </c>
      <c r="C3" s="6" t="s">
        <v>19</v>
      </c>
      <c r="D3" s="6">
        <v>25074</v>
      </c>
      <c r="E3" s="15"/>
      <c r="F3" s="4">
        <f>J3*K3</f>
        <v>34000</v>
      </c>
      <c r="G3" s="6">
        <v>50</v>
      </c>
      <c r="H3" s="4">
        <f>I3*K3</f>
        <v>680</v>
      </c>
      <c r="I3" s="4">
        <v>40</v>
      </c>
      <c r="J3" s="4">
        <f>I3*G3</f>
        <v>2000</v>
      </c>
      <c r="K3" s="4">
        <v>17</v>
      </c>
      <c r="L3" s="4">
        <v>668</v>
      </c>
      <c r="M3" s="4">
        <v>710</v>
      </c>
      <c r="N3" s="14" t="s">
        <v>20</v>
      </c>
      <c r="O3" s="4">
        <f>L3*K3</f>
        <v>11356</v>
      </c>
      <c r="P3" s="4">
        <f>M3*K3</f>
        <v>12070</v>
      </c>
      <c r="Q3" s="4">
        <f>0.53*K3</f>
        <v>9.01</v>
      </c>
    </row>
    <row r="4" spans="1:17" ht="52.5" customHeight="1">
      <c r="A4" s="4">
        <v>2</v>
      </c>
      <c r="B4" s="31" t="s">
        <v>29</v>
      </c>
      <c r="C4" s="17" t="s">
        <v>23</v>
      </c>
      <c r="D4" s="6"/>
      <c r="E4" s="15"/>
      <c r="F4" s="4">
        <f t="shared" ref="F4" si="0">J4*K4</f>
        <v>5000</v>
      </c>
      <c r="G4" s="6">
        <v>25</v>
      </c>
      <c r="H4" s="4">
        <f>I4*K4</f>
        <v>200</v>
      </c>
      <c r="I4" s="4">
        <v>40</v>
      </c>
      <c r="J4" s="4">
        <f>I4*G4</f>
        <v>1000</v>
      </c>
      <c r="K4" s="7">
        <v>5</v>
      </c>
      <c r="L4" s="4">
        <v>670</v>
      </c>
      <c r="M4" s="4">
        <f>L4+42</f>
        <v>712</v>
      </c>
      <c r="N4" s="14" t="s">
        <v>20</v>
      </c>
      <c r="O4" s="4">
        <f t="shared" ref="O4" si="1">L4*K4</f>
        <v>3350</v>
      </c>
      <c r="P4" s="4">
        <f t="shared" ref="P4" si="2">M4*K4</f>
        <v>3560</v>
      </c>
      <c r="Q4" s="4">
        <f t="shared" ref="Q4" si="3">0.53*K4</f>
        <v>2.6500000000000004</v>
      </c>
    </row>
    <row r="5" spans="1:17" ht="40.5" customHeight="1">
      <c r="A5" s="26">
        <v>3</v>
      </c>
      <c r="B5" s="24" t="s">
        <v>29</v>
      </c>
      <c r="C5" s="24" t="s">
        <v>23</v>
      </c>
      <c r="D5" s="24" t="s">
        <v>24</v>
      </c>
      <c r="E5" s="15"/>
      <c r="F5" s="4">
        <f t="shared" ref="F5:F8" si="4">J5*K5</f>
        <v>4000</v>
      </c>
      <c r="G5" s="6">
        <v>25</v>
      </c>
      <c r="H5" s="4">
        <f>I5*K5</f>
        <v>160</v>
      </c>
      <c r="I5" s="4">
        <v>40</v>
      </c>
      <c r="J5" s="4">
        <f>I5*G5</f>
        <v>1000</v>
      </c>
      <c r="K5" s="7">
        <v>4</v>
      </c>
      <c r="L5" s="4">
        <v>670</v>
      </c>
      <c r="M5" s="4">
        <f>L5+42</f>
        <v>712</v>
      </c>
      <c r="N5" s="14" t="s">
        <v>20</v>
      </c>
      <c r="O5" s="4">
        <f t="shared" ref="O5:O6" si="5">L5*K5</f>
        <v>2680</v>
      </c>
      <c r="P5" s="4">
        <f t="shared" ref="P5:P6" si="6">M5*K5</f>
        <v>2848</v>
      </c>
      <c r="Q5" s="4">
        <f t="shared" ref="Q5:Q6" si="7">0.53*K5</f>
        <v>2.12</v>
      </c>
    </row>
    <row r="6" spans="1:17" ht="40.5" customHeight="1">
      <c r="A6" s="27"/>
      <c r="B6" s="25"/>
      <c r="C6" s="25"/>
      <c r="D6" s="28"/>
      <c r="E6" s="15"/>
      <c r="F6" s="4">
        <f t="shared" si="4"/>
        <v>1050</v>
      </c>
      <c r="G6" s="6">
        <v>25</v>
      </c>
      <c r="H6" s="4">
        <f>I6*K6</f>
        <v>42</v>
      </c>
      <c r="I6" s="4">
        <v>42</v>
      </c>
      <c r="J6" s="4">
        <f>I6*G6</f>
        <v>1050</v>
      </c>
      <c r="K6" s="7">
        <v>1</v>
      </c>
      <c r="L6" s="4">
        <v>704</v>
      </c>
      <c r="M6" s="4">
        <f t="shared" ref="M6:M9" si="8">L6+42</f>
        <v>746</v>
      </c>
      <c r="N6" s="14" t="s">
        <v>20</v>
      </c>
      <c r="O6" s="4">
        <f t="shared" si="5"/>
        <v>704</v>
      </c>
      <c r="P6" s="4">
        <f t="shared" si="6"/>
        <v>746</v>
      </c>
      <c r="Q6" s="4">
        <f t="shared" si="7"/>
        <v>0.53</v>
      </c>
    </row>
    <row r="7" spans="1:17" ht="52.5" customHeight="1">
      <c r="A7" s="26">
        <v>4</v>
      </c>
      <c r="B7" s="24" t="s">
        <v>22</v>
      </c>
      <c r="C7" s="24" t="s">
        <v>25</v>
      </c>
      <c r="D7" s="24" t="s">
        <v>26</v>
      </c>
      <c r="E7" s="15"/>
      <c r="F7" s="4">
        <f t="shared" si="4"/>
        <v>14000</v>
      </c>
      <c r="G7" s="6">
        <v>25</v>
      </c>
      <c r="H7" s="4">
        <f t="shared" ref="H7:H8" si="9">I7*K7</f>
        <v>560</v>
      </c>
      <c r="I7" s="4">
        <v>40</v>
      </c>
      <c r="J7" s="4">
        <f t="shared" ref="J7:J8" si="10">I7*G7</f>
        <v>1000</v>
      </c>
      <c r="K7" s="4">
        <v>14</v>
      </c>
      <c r="L7" s="4">
        <v>802</v>
      </c>
      <c r="M7" s="4">
        <f t="shared" si="8"/>
        <v>844</v>
      </c>
      <c r="N7" s="14" t="s">
        <v>20</v>
      </c>
      <c r="O7" s="4">
        <f t="shared" ref="O7:O8" si="11">L7*K7</f>
        <v>11228</v>
      </c>
      <c r="P7" s="4">
        <f t="shared" ref="P7:P8" si="12">M7*K7</f>
        <v>11816</v>
      </c>
      <c r="Q7" s="4">
        <f t="shared" ref="Q7:Q8" si="13">0.53*K7</f>
        <v>7.42</v>
      </c>
    </row>
    <row r="8" spans="1:17" ht="52.5" customHeight="1">
      <c r="A8" s="27"/>
      <c r="B8" s="25"/>
      <c r="C8" s="25"/>
      <c r="D8" s="25"/>
      <c r="E8" s="15"/>
      <c r="F8" s="4">
        <f t="shared" si="4"/>
        <v>1075</v>
      </c>
      <c r="G8" s="6">
        <v>25</v>
      </c>
      <c r="H8" s="4">
        <f t="shared" si="9"/>
        <v>43</v>
      </c>
      <c r="I8" s="4">
        <v>43</v>
      </c>
      <c r="J8" s="4">
        <f t="shared" si="10"/>
        <v>1075</v>
      </c>
      <c r="K8" s="4">
        <v>1</v>
      </c>
      <c r="L8" s="4">
        <v>862</v>
      </c>
      <c r="M8" s="4">
        <f t="shared" si="8"/>
        <v>904</v>
      </c>
      <c r="N8" s="14" t="s">
        <v>20</v>
      </c>
      <c r="O8" s="4">
        <f t="shared" si="11"/>
        <v>862</v>
      </c>
      <c r="P8" s="4">
        <f t="shared" si="12"/>
        <v>904</v>
      </c>
      <c r="Q8" s="4">
        <f t="shared" si="13"/>
        <v>0.53</v>
      </c>
    </row>
    <row r="9" spans="1:17" ht="62.25" customHeight="1">
      <c r="A9" s="7">
        <v>5</v>
      </c>
      <c r="B9" s="17" t="s">
        <v>22</v>
      </c>
      <c r="C9" s="16" t="s">
        <v>27</v>
      </c>
      <c r="D9" s="16" t="s">
        <v>28</v>
      </c>
      <c r="E9" s="19"/>
      <c r="F9" s="7">
        <f t="shared" ref="F9" si="14">J9*K9</f>
        <v>10000</v>
      </c>
      <c r="G9" s="20">
        <v>25</v>
      </c>
      <c r="H9" s="7">
        <f t="shared" ref="H9" si="15">I9*K9</f>
        <v>400</v>
      </c>
      <c r="I9" s="7">
        <v>40</v>
      </c>
      <c r="J9" s="7">
        <f t="shared" ref="J9" si="16">I9*G9</f>
        <v>1000</v>
      </c>
      <c r="K9" s="7">
        <v>10</v>
      </c>
      <c r="L9" s="7">
        <v>790</v>
      </c>
      <c r="M9" s="7">
        <f t="shared" si="8"/>
        <v>832</v>
      </c>
      <c r="N9" s="18" t="s">
        <v>20</v>
      </c>
      <c r="O9" s="7">
        <f t="shared" ref="O9" si="17">L9*K9</f>
        <v>7900</v>
      </c>
      <c r="P9" s="4">
        <f t="shared" ref="P9" si="18">M9*K9</f>
        <v>8320</v>
      </c>
      <c r="Q9" s="4">
        <f t="shared" ref="Q9" si="19">0.53*K9</f>
        <v>5.3000000000000007</v>
      </c>
    </row>
    <row r="10" spans="1:17" ht="57" customHeight="1">
      <c r="A10" s="21" t="s">
        <v>21</v>
      </c>
      <c r="B10" s="21"/>
      <c r="C10" s="21"/>
      <c r="D10" s="8"/>
      <c r="E10" s="7"/>
      <c r="F10" s="7">
        <f>SUM(F3:F9)</f>
        <v>69125</v>
      </c>
      <c r="G10" s="7"/>
      <c r="H10" s="7">
        <f>SUM(H3:H9)</f>
        <v>2085</v>
      </c>
      <c r="I10" s="7"/>
      <c r="J10" s="7"/>
      <c r="K10" s="7">
        <f>SUM(K3:K9)</f>
        <v>52</v>
      </c>
      <c r="L10" s="7"/>
      <c r="M10" s="7"/>
      <c r="N10" s="7"/>
      <c r="O10" s="7">
        <f>SUM(O3:O9)</f>
        <v>38080</v>
      </c>
      <c r="P10" s="7">
        <f>SUM(P3:P9)</f>
        <v>40264</v>
      </c>
      <c r="Q10" s="7">
        <f>SUM(Q3:Q9)</f>
        <v>27.560000000000002</v>
      </c>
    </row>
    <row r="11" spans="1:17" ht="14.45" customHeight="1">
      <c r="A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21" customHeight="1">
      <c r="A12" s="9"/>
      <c r="B12" s="10"/>
      <c r="C12" s="11"/>
      <c r="N12" s="9"/>
      <c r="O12" s="9"/>
      <c r="P12" s="9"/>
      <c r="Q12" s="9"/>
    </row>
    <row r="13" spans="1:17" ht="21" customHeight="1">
      <c r="A13" s="9"/>
      <c r="B13" s="10"/>
      <c r="C13" s="1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8.75">
      <c r="A14" s="9"/>
      <c r="B14" s="9"/>
      <c r="C14" s="12"/>
      <c r="D14" s="9"/>
      <c r="E14" s="9"/>
      <c r="F14" s="9"/>
      <c r="G14" s="9"/>
      <c r="H14" s="9"/>
      <c r="I14" s="9"/>
      <c r="J14" s="9"/>
      <c r="K14" s="9"/>
      <c r="L14" s="9"/>
      <c r="M14" s="9"/>
      <c r="N14" s="22">
        <v>45873</v>
      </c>
      <c r="O14" s="22"/>
      <c r="P14" s="22"/>
      <c r="Q14" s="22"/>
    </row>
    <row r="15" spans="1:17" ht="18.75">
      <c r="A15" s="9"/>
      <c r="B15" s="9"/>
      <c r="C15" s="12"/>
      <c r="D15" s="9"/>
      <c r="E15" s="9"/>
      <c r="F15" s="9"/>
      <c r="G15" s="9"/>
      <c r="H15" s="9"/>
      <c r="I15" s="9"/>
      <c r="J15" s="9"/>
      <c r="K15" s="9"/>
      <c r="L15" s="9"/>
      <c r="M15" s="9"/>
      <c r="N15" s="23"/>
      <c r="O15" s="23"/>
      <c r="P15" s="23"/>
      <c r="Q15" s="23"/>
    </row>
    <row r="16" spans="1:17">
      <c r="A16" s="13"/>
      <c r="B16" s="13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/>
      <c r="B18" s="13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</sheetData>
  <mergeCells count="12">
    <mergeCell ref="A1:Q1"/>
    <mergeCell ref="A10:C10"/>
    <mergeCell ref="N14:Q14"/>
    <mergeCell ref="N15:Q15"/>
    <mergeCell ref="B5:B6"/>
    <mergeCell ref="C5:C6"/>
    <mergeCell ref="A5:A6"/>
    <mergeCell ref="B7:B8"/>
    <mergeCell ref="C7:C8"/>
    <mergeCell ref="D5:D6"/>
    <mergeCell ref="D7:D8"/>
    <mergeCell ref="A7:A8"/>
  </mergeCells>
  <phoneticPr fontId="13" type="noConversion"/>
  <pageMargins left="0.90551181102362199" right="0.511811023622047" top="0.196850393700787" bottom="0.74803149606299202" header="0.31496062992126" footer="0.31496062992126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2025-08-04T08:31:47Z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