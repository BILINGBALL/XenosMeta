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92B10C15-51F2-4B60-8D86-F7769824E8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P5" i="1"/>
  <c r="N5" i="1"/>
  <c r="L5" i="1"/>
  <c r="O5" i="1" s="1"/>
  <c r="I5" i="1"/>
  <c r="F5" i="1"/>
  <c r="P4" i="1"/>
  <c r="O4" i="1"/>
  <c r="O6" i="1" s="1"/>
  <c r="N4" i="1"/>
  <c r="L4" i="1"/>
  <c r="I4" i="1"/>
  <c r="F4" i="1"/>
  <c r="P3" i="1"/>
  <c r="O3" i="1"/>
  <c r="N3" i="1"/>
  <c r="I3" i="1"/>
  <c r="F3" i="1" s="1"/>
  <c r="N6" i="1" l="1"/>
  <c r="F6" i="1"/>
  <c r="P6" i="1"/>
</calcChain>
</file>

<file path=xl/sharedStrings.xml><?xml version="1.0" encoding="utf-8"?>
<sst xmlns="http://schemas.openxmlformats.org/spreadsheetml/2006/main" count="28" uniqueCount="26">
  <si>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</si>
  <si>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</si>
  <si>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</si>
  <si>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</si>
  <si>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</si>
  <si>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</si>
  <si>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</si>
  <si>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</si>
  <si>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</si>
  <si>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</si>
  <si>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</si>
  <si>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</si>
  <si>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</si>
  <si>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</si>
  <si>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</si>
  <si>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</si>
  <si>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</si>
  <si>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螺栓配螺母</t>
  </si>
  <si>
    <t>1"*118</t>
  </si>
  <si>
    <t>1200*800*550
0.53</t>
  </si>
  <si>
    <t>合计</t>
  </si>
  <si>
    <t>唛头：</t>
  </si>
  <si>
    <t>苏州苏德兰铁路配件有限公司</t>
  </si>
  <si>
    <t>勾头道钉</t>
  </si>
  <si>
    <t>16*16*170</t>
  </si>
  <si>
    <t>CON-25JH-EXP-25074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</si>
</sst>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0_);[Red]\(0\)"/>
    <numFmt numFmtId="178" formatCode="0.000_);[Red]\(0.000\)"/>
    <numFmt numFmtId="179" formatCode="0.00_);[Red]\(0.00\)"/>
  </numFmts>
  <fonts count="10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6" fontId="0" fillId="0" borderId="0">
      <alignment vertical="center"/>
    </xf>
  </cellStyleXfs>
  <cellXfs count="26">
    <xf numFmtId="176" fontId="0" fillId="0" borderId="0" xfId="0">
      <alignment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76" fontId="2" fillId="0" borderId="0" xfId="0" applyFont="1" applyAlignment="1">
      <alignment horizontal="center" vertical="center"/>
    </xf>
    <xf numFmtId="176" fontId="4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6" fontId="4" fillId="0" borderId="0" xfId="0" applyFont="1" applyAlignment="1">
      <alignment horizontal="right" vertical="center"/>
    </xf>
    <xf numFmtId="177" fontId="4" fillId="0" borderId="2" xfId="0" applyNumberFormat="1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/>
    </xf>
    <xf numFmtId="177" fontId="2" fillId="2" borderId="2" xfId="0" quotePrefix="1" applyNumberFormat="1" applyFont="1" applyFill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center" vertical="center" wrapText="1"/>
    </xf>
    <xf numFmtId="177" fontId="7" fillId="2" borderId="2" xfId="0" applyNumberFormat="1" applyFont="1" applyFill="1" applyBorder="1" applyAlignment="1">
      <alignment horizontal="center" vertical="center" wrapText="1"/>
    </xf>
    <xf numFmtId="177" fontId="9" fillId="0" borderId="2" xfId="0" applyNumberFormat="1" applyFont="1" applyBorder="1" applyAlignment="1">
      <alignment horizontal="center" vertical="center" wrapText="1"/>
    </xf>
    <xf numFmtId="179" fontId="7" fillId="0" borderId="2" xfId="0" applyNumberFormat="1" applyFont="1" applyBorder="1" applyAlignment="1">
      <alignment horizontal="center" vertical="center"/>
    </xf>
    <xf numFmtId="176" fontId="1" fillId="0" borderId="1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6" fontId="5" fillId="0" borderId="0" xfId="0" applyFont="1" applyAlignment="1">
      <alignment horizontal="right" vertical="center"/>
    </xf>
    <xf numFmtId="177" fontId="3" fillId="0" borderId="2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"/>
  <sheetViews>
    <sheetView tabSelected="1" topLeftCell="A2" workbookViewId="0">
      <selection activeCell="K8" sqref="K8"/>
    </sheetView>
  </sheetViews>
  <sheetFormatPr defaultColWidth="9" defaultRowHeight="13.5" x14ac:dyDescent="0.15"/>
  <cols>
    <col min="1" max="1" width="4.625" customWidth="1"/>
    <col min="2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42.95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" t="s">
        <v>11</v>
      </c>
      <c r="L2" s="2" t="s">
        <v>12</v>
      </c>
      <c r="M2" s="1" t="s">
        <v>13</v>
      </c>
      <c r="N2" s="2" t="s">
        <v>14</v>
      </c>
      <c r="O2" s="2" t="s">
        <v>15</v>
      </c>
      <c r="P2" s="2" t="s">
        <v>16</v>
      </c>
    </row>
    <row r="3" spans="1:16" ht="54.95" customHeight="1" x14ac:dyDescent="0.15">
      <c r="A3" s="21">
        <v>1</v>
      </c>
      <c r="B3" s="23" t="s">
        <v>17</v>
      </c>
      <c r="C3" s="24" t="s">
        <v>18</v>
      </c>
      <c r="D3" s="25" t="s">
        <v>25</v>
      </c>
      <c r="E3" s="3"/>
      <c r="F3" s="1">
        <f t="shared" ref="F3:F4" si="0">I3*J3</f>
        <v>9000</v>
      </c>
      <c r="G3" s="1">
        <v>25</v>
      </c>
      <c r="H3" s="1">
        <v>40</v>
      </c>
      <c r="I3" s="1">
        <f t="shared" ref="I3:I4" si="1">G3*H3</f>
        <v>1000</v>
      </c>
      <c r="J3" s="1">
        <v>9</v>
      </c>
      <c r="K3" s="1">
        <v>802</v>
      </c>
      <c r="L3" s="1">
        <v>844</v>
      </c>
      <c r="M3" s="11" t="s">
        <v>19</v>
      </c>
      <c r="N3" s="1">
        <f t="shared" ref="N3:N4" si="2">K3*J3</f>
        <v>7218</v>
      </c>
      <c r="O3" s="1">
        <f t="shared" ref="O3:O4" si="3">L3*J3</f>
        <v>7596</v>
      </c>
      <c r="P3" s="12">
        <f t="shared" ref="P3:P4" si="4">0.53*J3</f>
        <v>4.7700000000000005</v>
      </c>
    </row>
    <row r="4" spans="1:16" ht="36" customHeight="1" x14ac:dyDescent="0.15">
      <c r="A4" s="21"/>
      <c r="B4" s="23"/>
      <c r="C4" s="24"/>
      <c r="D4" s="25"/>
      <c r="E4" s="13"/>
      <c r="F4" s="1">
        <f t="shared" si="0"/>
        <v>1100</v>
      </c>
      <c r="G4" s="1">
        <v>25</v>
      </c>
      <c r="H4" s="1">
        <v>44</v>
      </c>
      <c r="I4" s="1">
        <f t="shared" si="1"/>
        <v>1100</v>
      </c>
      <c r="J4" s="1">
        <v>1</v>
      </c>
      <c r="K4" s="1">
        <v>882</v>
      </c>
      <c r="L4" s="1">
        <f>K4+42</f>
        <v>924</v>
      </c>
      <c r="M4" s="11" t="s">
        <v>19</v>
      </c>
      <c r="N4" s="1">
        <f t="shared" si="2"/>
        <v>882</v>
      </c>
      <c r="O4" s="1">
        <f t="shared" si="3"/>
        <v>924</v>
      </c>
      <c r="P4" s="12">
        <f t="shared" si="4"/>
        <v>0.53</v>
      </c>
    </row>
    <row r="5" spans="1:16" ht="59.25" customHeight="1" x14ac:dyDescent="0.15">
      <c r="A5" s="14">
        <v>2</v>
      </c>
      <c r="B5" s="15" t="s">
        <v>23</v>
      </c>
      <c r="C5" s="16" t="s">
        <v>24</v>
      </c>
      <c r="D5" s="25"/>
      <c r="E5" s="17"/>
      <c r="F5" s="14">
        <f>I5*J5</f>
        <v>48000</v>
      </c>
      <c r="G5" s="14">
        <v>50</v>
      </c>
      <c r="H5" s="14">
        <v>40</v>
      </c>
      <c r="I5" s="14">
        <f>G5*H5</f>
        <v>2000</v>
      </c>
      <c r="J5" s="14">
        <v>24</v>
      </c>
      <c r="K5" s="14">
        <v>664</v>
      </c>
      <c r="L5" s="14">
        <f>K5+42</f>
        <v>706</v>
      </c>
      <c r="M5" s="18" t="s">
        <v>19</v>
      </c>
      <c r="N5" s="14">
        <f>K5*J5</f>
        <v>15936</v>
      </c>
      <c r="O5" s="14">
        <f>L5*J5</f>
        <v>16944</v>
      </c>
      <c r="P5" s="19">
        <f>0.53*J5</f>
        <v>12.72</v>
      </c>
    </row>
    <row r="6" spans="1:16" ht="36" customHeight="1" x14ac:dyDescent="0.15">
      <c r="A6" s="21" t="s">
        <v>20</v>
      </c>
      <c r="B6" s="21"/>
      <c r="C6" s="21"/>
      <c r="D6" s="1"/>
      <c r="E6" s="1"/>
      <c r="F6" s="1">
        <f>SUM(F3:F5)</f>
        <v>58100</v>
      </c>
      <c r="G6" s="1"/>
      <c r="H6" s="1"/>
      <c r="I6" s="1"/>
      <c r="J6" s="1">
        <f>SUM(J3:J5)</f>
        <v>34</v>
      </c>
      <c r="K6" s="1"/>
      <c r="L6" s="1"/>
      <c r="M6" s="1"/>
      <c r="N6" s="1">
        <f>SUM(N3:N5)</f>
        <v>24036</v>
      </c>
      <c r="O6" s="1">
        <f>SUM(O3:O5)</f>
        <v>25464</v>
      </c>
      <c r="P6" s="12">
        <f>SUM(P3:P5)</f>
        <v>18.020000000000003</v>
      </c>
    </row>
    <row r="7" spans="1:16" ht="21" customHeight="1" x14ac:dyDescent="0.15">
      <c r="A7" s="4"/>
      <c r="B7" s="4"/>
      <c r="C7" s="5"/>
      <c r="D7" s="5"/>
      <c r="E7" s="4"/>
      <c r="F7" s="6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1" customHeight="1" x14ac:dyDescent="0.15">
      <c r="A8" s="7"/>
      <c r="B8" s="7" t="s">
        <v>21</v>
      </c>
      <c r="C8" s="5"/>
      <c r="D8" s="5"/>
      <c r="E8" s="8"/>
      <c r="F8" s="8"/>
      <c r="G8" s="8"/>
      <c r="H8" s="8"/>
      <c r="I8" s="8"/>
      <c r="J8" s="8"/>
      <c r="K8" s="8"/>
      <c r="L8" s="8"/>
      <c r="M8" s="7"/>
      <c r="N8" s="7"/>
      <c r="O8" s="7"/>
      <c r="P8" s="7"/>
    </row>
    <row r="9" spans="1:16" ht="14.25" x14ac:dyDescent="0.15">
      <c r="A9" s="7"/>
      <c r="B9" s="7"/>
      <c r="C9" s="5"/>
      <c r="D9" s="5"/>
      <c r="E9" s="8"/>
      <c r="F9" s="8"/>
      <c r="G9" s="8"/>
      <c r="H9" s="8"/>
      <c r="I9" s="8"/>
      <c r="J9" s="8"/>
      <c r="K9" s="8"/>
      <c r="L9" s="8"/>
      <c r="M9" s="22" t="s">
        <v>22</v>
      </c>
      <c r="N9" s="22"/>
      <c r="O9" s="22"/>
      <c r="P9" s="22"/>
    </row>
    <row r="10" spans="1:16" ht="14.25" x14ac:dyDescent="0.15">
      <c r="A10" s="7"/>
      <c r="B10" s="7"/>
      <c r="C10" s="5"/>
      <c r="D10" s="5"/>
      <c r="E10" s="8"/>
      <c r="F10" s="8"/>
      <c r="G10" s="8"/>
      <c r="H10" s="8"/>
      <c r="I10" s="8"/>
      <c r="J10" s="8"/>
      <c r="K10" s="8"/>
      <c r="L10" s="8"/>
      <c r="M10" s="22">
        <v>45812</v>
      </c>
      <c r="N10" s="22"/>
      <c r="O10" s="22"/>
      <c r="P10" s="22"/>
    </row>
    <row r="11" spans="1:16" x14ac:dyDescent="0.15">
      <c r="A11" s="9"/>
      <c r="B11" s="9"/>
      <c r="C11" s="10"/>
      <c r="D11" s="8"/>
      <c r="E11" s="8"/>
      <c r="F11" s="8"/>
      <c r="G11" s="8"/>
      <c r="H11" s="8"/>
      <c r="I11" s="8"/>
      <c r="J11" s="8"/>
      <c r="K11" s="8"/>
      <c r="L11" s="8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</sheetData>
  <mergeCells count="8">
    <mergeCell ref="A1:P1"/>
    <mergeCell ref="A6:C6"/>
    <mergeCell ref="M9:P9"/>
    <mergeCell ref="M10:P10"/>
    <mergeCell ref="A3:A4"/>
    <mergeCell ref="B3:B4"/>
    <mergeCell ref="C3:C4"/>
    <mergeCell ref="D3:D5"/>
  </mergeCells>
  <phoneticPr fontId="6" type="noConversion"/>
  <pageMargins left="0.7" right="0.7" top="0.75" bottom="0.75" header="0.3" footer="0.3"/>
  <pageSetup paperSize="9" scale="76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2025-06-04T05:28:03Z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81C0E49224E14990B0B65A48853F02BA_12</vt:lpwstr>
  </property>
  <property fmtid="{D5CDD505-2E9C-101B-9397-08002B2CF9AE}" pid="3" name="KSOProductBuildVer">
    <vt:lpwstr>2052-12.1.0.21171</vt:lpwstr>
  </property>
</Properties>
</file>