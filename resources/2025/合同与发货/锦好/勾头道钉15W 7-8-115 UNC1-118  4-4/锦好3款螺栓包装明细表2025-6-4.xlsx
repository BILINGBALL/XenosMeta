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E2665470-5629-46B0-8752-E8A9421E24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N8" i="1"/>
  <c r="J8" i="1"/>
  <c r="F8" i="1"/>
  <c r="P7" i="1"/>
  <c r="N7" i="1"/>
  <c r="L7" i="1"/>
  <c r="O7" i="1" s="1"/>
  <c r="I7" i="1"/>
  <c r="F7" i="1"/>
  <c r="P6" i="1"/>
  <c r="O6" i="1"/>
  <c r="N6" i="1"/>
  <c r="L6" i="1"/>
  <c r="I6" i="1"/>
  <c r="F6" i="1"/>
  <c r="P5" i="1"/>
  <c r="N5" i="1"/>
  <c r="L5" i="1"/>
  <c r="O5" i="1" s="1"/>
  <c r="I5" i="1"/>
  <c r="F5" i="1"/>
  <c r="P4" i="1"/>
  <c r="O4" i="1"/>
  <c r="N4" i="1"/>
  <c r="L4" i="1"/>
  <c r="I4" i="1"/>
  <c r="F4" i="1"/>
  <c r="P3" i="1"/>
  <c r="O3" i="1"/>
  <c r="N3" i="1"/>
  <c r="I3" i="1"/>
  <c r="F3" i="1" s="1"/>
</calcChain>
</file>

<file path=xl/sharedStrings.xml><?xml version="1.0" encoding="utf-8"?>
<sst xmlns="http://schemas.openxmlformats.org/spreadsheetml/2006/main" count="32" uniqueCount="27">
  <si>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</si>
  <si>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</si>
  <si>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</si>
  <si>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</si>
  <si>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</si>
  <si>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</si>
  <si>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</si>
  <si>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套/袋</t>
  </si>
  <si>
    <t>袋/托</t>
  </si>
  <si>
    <t>套/托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</si>
  <si>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</si>
  <si>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</si>
  <si>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</si>
  <si>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</si>
  <si>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</si>
  <si>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</si>
  <si>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</si>
  <si>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螺栓配螺母</t>
  </si>
  <si>
    <t>1"*118</t>
  </si>
  <si>
    <t>1200*800*550
0.53</t>
  </si>
  <si>
    <t>7/8"*115</t>
  </si>
  <si>
    <t>合计</t>
  </si>
  <si>
    <t>唛头：</t>
  </si>
  <si>
    <t>苏州苏德兰铁路配件有限公司</t>
  </si>
  <si>
    <t>勾头道钉</t>
  </si>
  <si>
    <t>16*16*170</t>
  </si>
  <si>
    <t>CON-25JH-EXP-25074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</si>
</sst>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[$-F800]dddd\,\ mmmm\ dd\,\ yyyy"/>
    <numFmt numFmtId="179" formatCode="0_);[Red]\(0\)"/>
    <numFmt numFmtId="180" formatCode="0.000_);[Red]\(0.000\)"/>
    <numFmt numFmtId="181" formatCode="0.00_);[Red]\(0.0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8" fontId="0" fillId="0" borderId="0">
      <alignment vertical="center"/>
    </xf>
  </cellStyleXfs>
  <cellXfs count="26">
    <xf numFmtId="178" fontId="0" fillId="0" borderId="0" xfId="0">
      <alignment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2" borderId="2" xfId="0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178" fontId="2" fillId="0" borderId="0" xfId="0" applyFont="1" applyAlignment="1">
      <alignment horizontal="center" vertical="center"/>
    </xf>
    <xf numFmtId="178" fontId="4" fillId="0" borderId="0" xfId="0" applyFont="1" applyAlignment="1">
      <alignment horizontal="center" vertical="center"/>
    </xf>
    <xf numFmtId="178" fontId="0" fillId="0" borderId="0" xfId="0" applyAlignment="1">
      <alignment horizontal="center" vertical="center"/>
    </xf>
    <xf numFmtId="178" fontId="4" fillId="0" borderId="0" xfId="0" applyFont="1" applyAlignment="1">
      <alignment horizontal="right" vertical="center"/>
    </xf>
    <xf numFmtId="179" fontId="4" fillId="0" borderId="2" xfId="0" applyNumberFormat="1" applyFont="1" applyBorder="1" applyAlignment="1">
      <alignment horizontal="center" vertical="center" wrapText="1"/>
    </xf>
    <xf numFmtId="181" fontId="2" fillId="0" borderId="2" xfId="0" applyNumberFormat="1" applyFont="1" applyBorder="1" applyAlignment="1">
      <alignment horizontal="center" vertical="center"/>
    </xf>
    <xf numFmtId="179" fontId="2" fillId="2" borderId="2" xfId="0" quotePrefix="1" applyNumberFormat="1" applyFont="1" applyFill="1" applyBorder="1" applyAlignment="1">
      <alignment horizontal="center" vertical="center" wrapText="1"/>
    </xf>
    <xf numFmtId="178" fontId="1" fillId="0" borderId="1" xfId="0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8" fontId="5" fillId="0" borderId="0" xfId="0" applyFont="1" applyAlignment="1">
      <alignment horizontal="right" vertical="center"/>
    </xf>
    <xf numFmtId="179" fontId="3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179" fontId="7" fillId="0" borderId="2" xfId="0" applyNumberFormat="1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 wrapText="1"/>
    </xf>
    <xf numFmtId="179" fontId="7" fillId="0" borderId="2" xfId="0" applyNumberFormat="1" applyFont="1" applyBorder="1" applyAlignment="1">
      <alignment horizontal="center" vertical="center" wrapText="1"/>
    </xf>
    <xf numFmtId="179" fontId="7" fillId="2" borderId="2" xfId="0" applyNumberFormat="1" applyFont="1" applyFill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181" fontId="7" fillId="0" borderId="2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topLeftCell="A2" workbookViewId="0">
      <selection activeCell="P3" sqref="P3"/>
    </sheetView>
  </sheetViews>
  <sheetFormatPr defaultColWidth="9" defaultRowHeight="13.5" x14ac:dyDescent="0.1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42.95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54.95" customHeight="1" x14ac:dyDescent="0.15">
      <c r="A3" s="15">
        <v>1</v>
      </c>
      <c r="B3" s="17" t="s">
        <v>17</v>
      </c>
      <c r="C3" s="18" t="s">
        <v>18</v>
      </c>
      <c r="D3" s="25" t="s">
        <v>26</v>
      </c>
      <c r="E3" s="3"/>
      <c r="F3" s="1">
        <f t="shared" ref="F3:F6" si="0">I3*J3</f>
        <v>9000</v>
      </c>
      <c r="G3" s="1">
        <v>25</v>
      </c>
      <c r="H3" s="1">
        <v>40</v>
      </c>
      <c r="I3" s="1">
        <f t="shared" ref="I3:I6" si="1">G3*H3</f>
        <v>1000</v>
      </c>
      <c r="J3" s="1">
        <v>9</v>
      </c>
      <c r="K3" s="1">
        <v>802</v>
      </c>
      <c r="L3" s="1">
        <v>844</v>
      </c>
      <c r="M3" s="11" t="s">
        <v>19</v>
      </c>
      <c r="N3" s="1">
        <f t="shared" ref="N3:N6" si="2">K3*J3</f>
        <v>7218</v>
      </c>
      <c r="O3" s="1">
        <f t="shared" ref="O3:O6" si="3">L3*J3</f>
        <v>7596</v>
      </c>
      <c r="P3" s="12">
        <f t="shared" ref="P3:P6" si="4">0.53*J3</f>
        <v>4.7700000000000005</v>
      </c>
    </row>
    <row r="4" spans="1:16" ht="36" customHeight="1" x14ac:dyDescent="0.15">
      <c r="A4" s="15"/>
      <c r="B4" s="17"/>
      <c r="C4" s="18"/>
      <c r="D4" s="25"/>
      <c r="E4" s="13"/>
      <c r="F4" s="1">
        <f t="shared" si="0"/>
        <v>1100</v>
      </c>
      <c r="G4" s="1">
        <v>25</v>
      </c>
      <c r="H4" s="1">
        <v>44</v>
      </c>
      <c r="I4" s="1">
        <f t="shared" si="1"/>
        <v>1100</v>
      </c>
      <c r="J4" s="1">
        <v>1</v>
      </c>
      <c r="K4" s="1">
        <v>882</v>
      </c>
      <c r="L4" s="1">
        <f>K4+42</f>
        <v>924</v>
      </c>
      <c r="M4" s="11" t="s">
        <v>19</v>
      </c>
      <c r="N4" s="1">
        <f t="shared" si="2"/>
        <v>882</v>
      </c>
      <c r="O4" s="1">
        <f t="shared" si="3"/>
        <v>924</v>
      </c>
      <c r="P4" s="12">
        <f t="shared" si="4"/>
        <v>0.53</v>
      </c>
    </row>
    <row r="5" spans="1:16" ht="54.95" customHeight="1" x14ac:dyDescent="0.15">
      <c r="A5" s="15">
        <v>2</v>
      </c>
      <c r="B5" s="17" t="s">
        <v>17</v>
      </c>
      <c r="C5" s="18" t="s">
        <v>20</v>
      </c>
      <c r="D5" s="25"/>
      <c r="E5" s="3"/>
      <c r="F5" s="1">
        <f t="shared" si="0"/>
        <v>4000</v>
      </c>
      <c r="G5" s="1">
        <v>25</v>
      </c>
      <c r="H5" s="1">
        <v>40</v>
      </c>
      <c r="I5" s="1">
        <f t="shared" si="1"/>
        <v>1000</v>
      </c>
      <c r="J5" s="1">
        <v>4</v>
      </c>
      <c r="K5" s="1">
        <v>670</v>
      </c>
      <c r="L5" s="1">
        <f>K5+42</f>
        <v>712</v>
      </c>
      <c r="M5" s="11" t="s">
        <v>19</v>
      </c>
      <c r="N5" s="1">
        <f t="shared" si="2"/>
        <v>2680</v>
      </c>
      <c r="O5" s="1">
        <f t="shared" si="3"/>
        <v>2848</v>
      </c>
      <c r="P5" s="12">
        <f t="shared" si="4"/>
        <v>2.12</v>
      </c>
    </row>
    <row r="6" spans="1:16" ht="36" customHeight="1" x14ac:dyDescent="0.15">
      <c r="A6" s="15"/>
      <c r="B6" s="17"/>
      <c r="C6" s="18"/>
      <c r="D6" s="25"/>
      <c r="E6" s="13"/>
      <c r="F6" s="1">
        <f t="shared" si="0"/>
        <v>1050</v>
      </c>
      <c r="G6" s="1">
        <v>25</v>
      </c>
      <c r="H6" s="1">
        <v>42</v>
      </c>
      <c r="I6" s="1">
        <f t="shared" si="1"/>
        <v>1050</v>
      </c>
      <c r="J6" s="1">
        <v>1</v>
      </c>
      <c r="K6" s="1">
        <v>703</v>
      </c>
      <c r="L6" s="1">
        <f>K6+42</f>
        <v>745</v>
      </c>
      <c r="M6" s="11" t="s">
        <v>19</v>
      </c>
      <c r="N6" s="1">
        <f t="shared" si="2"/>
        <v>703</v>
      </c>
      <c r="O6" s="1">
        <f t="shared" si="3"/>
        <v>745</v>
      </c>
      <c r="P6" s="12">
        <f t="shared" si="4"/>
        <v>0.53</v>
      </c>
    </row>
    <row r="7" spans="1:16" ht="59.25" customHeight="1" x14ac:dyDescent="0.15">
      <c r="A7" s="19">
        <v>3</v>
      </c>
      <c r="B7" s="20" t="s">
        <v>24</v>
      </c>
      <c r="C7" s="21" t="s">
        <v>25</v>
      </c>
      <c r="D7" s="25"/>
      <c r="E7" s="22"/>
      <c r="F7" s="19">
        <f>I7*J7</f>
        <v>40000</v>
      </c>
      <c r="G7" s="19">
        <v>50</v>
      </c>
      <c r="H7" s="19">
        <v>40</v>
      </c>
      <c r="I7" s="19">
        <f>G7*H7</f>
        <v>2000</v>
      </c>
      <c r="J7" s="19">
        <v>20</v>
      </c>
      <c r="K7" s="19">
        <v>664</v>
      </c>
      <c r="L7" s="19">
        <f>K7+42</f>
        <v>706</v>
      </c>
      <c r="M7" s="23" t="s">
        <v>19</v>
      </c>
      <c r="N7" s="19">
        <f>K7*J7</f>
        <v>13280</v>
      </c>
      <c r="O7" s="19">
        <f>L7*J7</f>
        <v>14120</v>
      </c>
      <c r="P7" s="24">
        <f>0.53*J7</f>
        <v>10.600000000000001</v>
      </c>
    </row>
    <row r="8" spans="1:16" ht="36" customHeight="1" x14ac:dyDescent="0.15">
      <c r="A8" s="15" t="s">
        <v>21</v>
      </c>
      <c r="B8" s="15"/>
      <c r="C8" s="15"/>
      <c r="D8" s="1"/>
      <c r="E8" s="1"/>
      <c r="F8" s="1">
        <f>SUM(F3:F7)</f>
        <v>55150</v>
      </c>
      <c r="G8" s="1"/>
      <c r="H8" s="1"/>
      <c r="I8" s="1"/>
      <c r="J8" s="1">
        <f>SUM(J3:J7)</f>
        <v>35</v>
      </c>
      <c r="K8" s="1"/>
      <c r="L8" s="1"/>
      <c r="M8" s="1"/>
      <c r="N8" s="1">
        <f t="shared" ref="N8:P8" si="5">SUM(N3:N7)</f>
        <v>24763</v>
      </c>
      <c r="O8" s="1">
        <f t="shared" si="5"/>
        <v>26233</v>
      </c>
      <c r="P8" s="12">
        <f t="shared" si="5"/>
        <v>18.550000000000004</v>
      </c>
    </row>
    <row r="9" spans="1:16" ht="21" customHeight="1" x14ac:dyDescent="0.15">
      <c r="A9" s="4"/>
      <c r="B9" s="4"/>
      <c r="C9" s="5"/>
      <c r="D9" s="5"/>
      <c r="E9" s="4"/>
      <c r="F9" s="6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1" customHeight="1" x14ac:dyDescent="0.15">
      <c r="A10" s="7"/>
      <c r="B10" s="7" t="s">
        <v>22</v>
      </c>
      <c r="C10" s="5"/>
      <c r="D10" s="5"/>
      <c r="E10" s="8"/>
      <c r="F10" s="8"/>
      <c r="G10" s="8"/>
      <c r="H10" s="8"/>
      <c r="I10" s="8"/>
      <c r="J10" s="8"/>
      <c r="K10" s="8"/>
      <c r="L10" s="8"/>
      <c r="M10" s="7"/>
      <c r="N10" s="7"/>
      <c r="O10" s="7"/>
      <c r="P10" s="7"/>
    </row>
    <row r="11" spans="1:16" ht="14.25" x14ac:dyDescent="0.15">
      <c r="A11" s="7"/>
      <c r="B11" s="7"/>
      <c r="C11" s="5"/>
      <c r="D11" s="5"/>
      <c r="E11" s="8"/>
      <c r="F11" s="8"/>
      <c r="G11" s="8"/>
      <c r="H11" s="8"/>
      <c r="I11" s="8"/>
      <c r="J11" s="8"/>
      <c r="K11" s="8"/>
      <c r="L11" s="8"/>
      <c r="M11" s="16" t="s">
        <v>23</v>
      </c>
      <c r="N11" s="16"/>
      <c r="O11" s="16"/>
      <c r="P11" s="16"/>
    </row>
    <row r="12" spans="1:16" ht="14.25" x14ac:dyDescent="0.15">
      <c r="A12" s="7"/>
      <c r="B12" s="7"/>
      <c r="C12" s="5"/>
      <c r="D12" s="5"/>
      <c r="E12" s="8"/>
      <c r="F12" s="8"/>
      <c r="G12" s="8"/>
      <c r="H12" s="8"/>
      <c r="I12" s="8"/>
      <c r="J12" s="8"/>
      <c r="K12" s="8"/>
      <c r="L12" s="8"/>
      <c r="M12" s="16">
        <v>45812</v>
      </c>
      <c r="N12" s="16"/>
      <c r="O12" s="16"/>
      <c r="P12" s="16"/>
    </row>
    <row r="13" spans="1:16" x14ac:dyDescent="0.15">
      <c r="A13" s="9"/>
      <c r="B13" s="9"/>
      <c r="C13" s="10"/>
      <c r="D13" s="8"/>
      <c r="E13" s="8"/>
      <c r="F13" s="8"/>
      <c r="G13" s="8"/>
      <c r="H13" s="8"/>
      <c r="I13" s="8"/>
      <c r="J13" s="8"/>
      <c r="K13" s="8"/>
      <c r="L13" s="8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1:16" x14ac:dyDescent="0.1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</sheetData>
  <mergeCells count="11">
    <mergeCell ref="A1:P1"/>
    <mergeCell ref="A8:C8"/>
    <mergeCell ref="M11:P11"/>
    <mergeCell ref="M12:P12"/>
    <mergeCell ref="A3:A4"/>
    <mergeCell ref="A5:A6"/>
    <mergeCell ref="B3:B4"/>
    <mergeCell ref="B5:B6"/>
    <mergeCell ref="C3:C4"/>
    <mergeCell ref="C5:C6"/>
    <mergeCell ref="D3:D7"/>
  </mergeCells>
  <phoneticPr fontId="6" type="noConversion"/>
  <pageMargins left="0.7" right="0.7" top="0.75" bottom="0.75" header="0.3" footer="0.3"/>
  <pageSetup paperSize="9" scale="76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2025-06-04T02:03:27Z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81C0E49224E14990B0B65A48853F02BA_12</vt:lpwstr>
  </property>
  <property fmtid="{D5CDD505-2E9C-101B-9397-08002B2CF9AE}" pid="3" name="KSOProductBuildVer">
    <vt:lpwstr>2052-12.1.0.21171</vt:lpwstr>
  </property>
</Properties>
</file>