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锦好\螺栓24-125+螺母 20000+2000件 6-7\"/>
    </mc:Choice>
  </mc:AlternateContent>
  <xr:revisionPtr revIDLastSave="0" documentId="13_ncr:1_{1C2DBE44-12D7-4DAD-B349-A2847A5A62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K5" i="1" l="1"/>
  <c r="O4" i="1" l="1"/>
  <c r="M4" i="1"/>
  <c r="P4" i="1" s="1"/>
  <c r="J4" i="1"/>
  <c r="F4" i="1" s="1"/>
  <c r="M3" i="1"/>
  <c r="P3" i="1" s="1"/>
  <c r="Q3" i="1"/>
  <c r="O3" i="1"/>
  <c r="J3" i="1"/>
  <c r="F3" i="1" s="1"/>
  <c r="H3" i="1"/>
  <c r="Q5" i="1" l="1"/>
  <c r="P5" i="1"/>
  <c r="O5" i="1"/>
  <c r="F5" i="1"/>
  <c r="H5" i="1"/>
</calcChain>
</file>

<file path=xl/sharedStrings.xml><?xml version="1.0" encoding="utf-8"?>
<sst xmlns="http://schemas.openxmlformats.org/spreadsheetml/2006/main" count="27" uniqueCount="27">
  <si>
    <t>PACKING DETAILS
包装明细表</t>
  </si>
  <si>
    <t xml:space="preserve">
No</t>
  </si>
  <si>
    <t xml:space="preserve">
Name
品名</t>
  </si>
  <si>
    <t xml:space="preserve">
Spec.</t>
  </si>
  <si>
    <t xml:space="preserve">
PO
合同</t>
  </si>
  <si>
    <t xml:space="preserve">
pallet No.
托号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</si>
  <si>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Quantity数量</t>
    </r>
  </si>
  <si>
    <t xml:space="preserve">
Pieces
/bag     (*)
件/包</t>
  </si>
  <si>
    <t xml:space="preserve">
Bags
总袋数</t>
  </si>
  <si>
    <t xml:space="preserve">
Bags
/pallet
袋/箱</t>
  </si>
  <si>
    <t>Pieces
/pallet
件/箱</t>
  </si>
  <si>
    <t xml:space="preserve">
pallet
托</t>
  </si>
  <si>
    <t>Net weight
NW/pallet
（KG）
净重</t>
  </si>
  <si>
    <t>Gross weight
GW/pallet
（KG）
总重</t>
  </si>
  <si>
    <t>Dimensions (mm) and volume (m3) / pallet
托盘尺寸</t>
  </si>
  <si>
    <t>Total Net weight
NW
（KG）
总净重</t>
  </si>
  <si>
    <t>Total Gross weight
GW
(KG）
总毛重</t>
  </si>
  <si>
    <t xml:space="preserve">
Volume M³
总体积</t>
  </si>
  <si>
    <t>1200*800*550
0.53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</si>
  <si>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</si>
  <si>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CON-25YC-EXP-2025029</t>
    <phoneticPr fontId="13" type="noConversion"/>
  </si>
  <si>
    <t>螺母</t>
    <phoneticPr fontId="13" type="noConversion"/>
  </si>
  <si>
    <t>M24</t>
    <phoneticPr fontId="13" type="noConversion"/>
  </si>
  <si>
    <t>CON-25YC-EXP-2025028</t>
    <phoneticPr fontId="13" type="noConversion"/>
  </si>
  <si>
    <t>24*125</t>
    <phoneticPr fontId="13" type="noConversion"/>
  </si>
  <si>
    <t>方头
螺栓
螺母</t>
    <phoneticPr fontId="13" type="noConversion"/>
  </si>
  <si>
    <t>1200*800*350
0.34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</si>
</sst>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Arial Unicode MS"/>
      <family val="2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58" fontId="5" fillId="0" borderId="2" xfId="0" quotePrefix="1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58" fontId="5" fillId="0" borderId="1" xfId="0" quotePrefix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8" fillId="0" borderId="0" xfId="0" applyNumberFormat="1" applyFont="1" applyAlignment="1">
      <alignment horizontal="right" vertical="center"/>
    </xf>
    <xf numFmtId="176" fontId="8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2" fillId="0" borderId="1" xfId="0" quotePrefix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7"/>
  <sheetViews>
    <sheetView tabSelected="1" topLeftCell="A2" workbookViewId="0">
      <selection activeCell="H6" sqref="H6"/>
    </sheetView>
  </sheetViews>
  <sheetFormatPr defaultColWidth="8.75" defaultRowHeight="13.5"/>
  <cols>
    <col min="1" max="1" width="4.625" customWidth="1"/>
    <col min="2" max="2" width="8.75" customWidth="1"/>
    <col min="3" max="3" width="9.5" customWidth="1"/>
    <col min="4" max="4" width="8.375" customWidth="1"/>
    <col min="5" max="5" width="12.25" customWidth="1"/>
    <col min="6" max="6" width="7.75" customWidth="1"/>
    <col min="7" max="7" width="7.125" customWidth="1"/>
    <col min="8" max="8" width="6.625" customWidth="1"/>
    <col min="9" max="9" width="6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23" max="23" width="12.625"/>
  </cols>
  <sheetData>
    <row r="1" spans="1:17" ht="57.95" customHeight="1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ht="80.099999999999994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68.25" customHeight="1">
      <c r="A3" s="4">
        <v>1</v>
      </c>
      <c r="B3" s="16" t="s">
        <v>25</v>
      </c>
      <c r="C3" s="16" t="s">
        <v>24</v>
      </c>
      <c r="D3" s="16" t="s">
        <v>23</v>
      </c>
      <c r="E3" s="14"/>
      <c r="F3" s="4">
        <f t="shared" ref="F3" si="0">J3*K3</f>
        <v>20000</v>
      </c>
      <c r="G3" s="5">
        <v>25</v>
      </c>
      <c r="H3" s="4">
        <f>I3*K3</f>
        <v>800</v>
      </c>
      <c r="I3" s="4">
        <v>40</v>
      </c>
      <c r="J3" s="4">
        <f>I3*G3</f>
        <v>1000</v>
      </c>
      <c r="K3" s="6">
        <v>20</v>
      </c>
      <c r="L3" s="4">
        <v>780</v>
      </c>
      <c r="M3" s="4">
        <f>L3+42</f>
        <v>822</v>
      </c>
      <c r="N3" s="13" t="s">
        <v>18</v>
      </c>
      <c r="O3" s="4">
        <f t="shared" ref="O3" si="1">L3*K3</f>
        <v>15600</v>
      </c>
      <c r="P3" s="4">
        <f t="shared" ref="P3" si="2">M3*K3</f>
        <v>16440</v>
      </c>
      <c r="Q3" s="4">
        <f t="shared" ref="Q3" si="3">0.53*K3</f>
        <v>10.600000000000001</v>
      </c>
    </row>
    <row r="4" spans="1:17" ht="68.25" customHeight="1">
      <c r="A4" s="6">
        <v>2</v>
      </c>
      <c r="B4" s="15" t="s">
        <v>21</v>
      </c>
      <c r="C4" s="25" t="s">
        <v>22</v>
      </c>
      <c r="D4" s="15" t="s">
        <v>20</v>
      </c>
      <c r="E4" s="18"/>
      <c r="F4" s="6">
        <f t="shared" ref="F4" si="4">J4*K4</f>
        <v>2000</v>
      </c>
      <c r="G4" s="19">
        <v>100</v>
      </c>
      <c r="H4" s="6">
        <v>20</v>
      </c>
      <c r="I4" s="6">
        <v>20</v>
      </c>
      <c r="J4" s="6">
        <f t="shared" ref="J4" si="5">I4*G4</f>
        <v>2000</v>
      </c>
      <c r="K4" s="6">
        <v>1</v>
      </c>
      <c r="L4" s="6">
        <v>352</v>
      </c>
      <c r="M4" s="6">
        <f t="shared" ref="M4" si="6">L4+42</f>
        <v>394</v>
      </c>
      <c r="N4" s="17" t="s">
        <v>26</v>
      </c>
      <c r="O4" s="6">
        <f t="shared" ref="O4" si="7">L4*K4</f>
        <v>352</v>
      </c>
      <c r="P4" s="4">
        <f t="shared" ref="P4" si="8">M4*K4</f>
        <v>394</v>
      </c>
      <c r="Q4" s="4">
        <f>0.34*K4</f>
        <v>0.34</v>
      </c>
    </row>
    <row r="5" spans="1:17" ht="57" customHeight="1">
      <c r="A5" s="20" t="s">
        <v>19</v>
      </c>
      <c r="B5" s="20"/>
      <c r="C5" s="20"/>
      <c r="D5" s="7"/>
      <c r="E5" s="6"/>
      <c r="F5" s="6">
        <f>SUM(F3:F4)</f>
        <v>22000</v>
      </c>
      <c r="G5" s="6"/>
      <c r="H5" s="6">
        <f>SUM(H3:H4)</f>
        <v>820</v>
      </c>
      <c r="I5" s="6"/>
      <c r="J5" s="6"/>
      <c r="K5" s="6">
        <f>SUM(K3:K4)</f>
        <v>21</v>
      </c>
      <c r="L5" s="6"/>
      <c r="M5" s="6"/>
      <c r="N5" s="6"/>
      <c r="O5" s="6">
        <f>SUM(O3:O4)</f>
        <v>15952</v>
      </c>
      <c r="P5" s="6">
        <f>SUM(P3:P4)</f>
        <v>16834</v>
      </c>
      <c r="Q5" s="6">
        <f>SUM(Q3:Q4)</f>
        <v>10.940000000000001</v>
      </c>
    </row>
    <row r="6" spans="1:17" ht="14.45" customHeight="1">
      <c r="A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1:17" ht="21" customHeight="1">
      <c r="A7" s="8"/>
      <c r="B7" s="9"/>
      <c r="C7" s="10"/>
      <c r="N7" s="8"/>
      <c r="O7" s="8"/>
      <c r="P7" s="8"/>
      <c r="Q7" s="8"/>
    </row>
    <row r="8" spans="1:17" ht="21" customHeight="1">
      <c r="A8" s="8"/>
      <c r="B8" s="9"/>
      <c r="C8" s="11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ht="18.75">
      <c r="A9" s="8"/>
      <c r="B9" s="8"/>
      <c r="C9" s="11"/>
      <c r="D9" s="8"/>
      <c r="E9" s="8"/>
      <c r="F9" s="8"/>
      <c r="G9" s="8"/>
      <c r="H9" s="8"/>
      <c r="I9" s="8"/>
      <c r="J9" s="8"/>
      <c r="K9" s="8"/>
      <c r="L9" s="8"/>
      <c r="M9" s="8"/>
      <c r="N9" s="21">
        <v>45919</v>
      </c>
      <c r="O9" s="21"/>
      <c r="P9" s="21"/>
      <c r="Q9" s="21"/>
    </row>
    <row r="10" spans="1:17" ht="18.75">
      <c r="A10" s="8"/>
      <c r="B10" s="8"/>
      <c r="C10" s="11"/>
      <c r="D10" s="8"/>
      <c r="E10" s="8"/>
      <c r="F10" s="8"/>
      <c r="G10" s="8"/>
      <c r="H10" s="8"/>
      <c r="I10" s="8"/>
      <c r="J10" s="8"/>
      <c r="K10" s="8"/>
      <c r="L10" s="8"/>
      <c r="M10" s="8"/>
      <c r="N10" s="22"/>
      <c r="O10" s="22"/>
      <c r="P10" s="22"/>
      <c r="Q10" s="22"/>
    </row>
    <row r="11" spans="1:17">
      <c r="A11" s="12"/>
      <c r="B11" s="12"/>
      <c r="C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 spans="1:17">
      <c r="A12" s="12"/>
      <c r="B12" s="12"/>
      <c r="C12" s="1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</row>
    <row r="13" spans="1:17">
      <c r="A13" s="12"/>
      <c r="B13" s="12"/>
      <c r="C13" s="1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</sheetData>
  <mergeCells count="4">
    <mergeCell ref="A1:Q1"/>
    <mergeCell ref="A5:C5"/>
    <mergeCell ref="N9:Q9"/>
    <mergeCell ref="N10:Q10"/>
  </mergeCells>
  <phoneticPr fontId="13" type="noConversion"/>
  <pageMargins left="0.90551181102362199" right="0.511811023622047" top="0.196850393700787" bottom="0.74803149606299202" header="0.31496062992126" footer="0.31496062992126"/>
  <pageSetup paperSize="9" scale="97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2025-09-19T05:45:16Z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B2BADA30BFA84D8E9E0840C12BEFC0B4_12</vt:lpwstr>
  </property>
  <property fmtid="{D5CDD505-2E9C-101B-9397-08002B2CF9AE}" pid="3" name="KSOProductBuildVer">
    <vt:lpwstr>2052-12.1.0.21541</vt:lpwstr>
  </property>
</Properties>
</file>