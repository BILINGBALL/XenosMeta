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<sst xmlns="http://schemas.openxmlformats.org/spreadsheetml/2006/main" count="23" uniqueCount="23">
  <si>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PACKING DETAILS
包装明细表</t>
  </si>
  <si>
    <t xml:space="preserve">
No</t>
  </si>
  <si>
    <t xml:space="preserve">
Name
品名</t>
  </si>
  <si>
    <t xml:space="preserve">
Spec.</t>
  </si>
  <si>
    <t xml:space="preserve">
PO
合同</t>
  </si>
  <si>
    <t xml:space="preserve">
pallet No.
托号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</si>
  <si>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</si>
  <si>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</si>
  <si>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</si>
  <si>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/pallet
袋/箱</t>
  </si>
  <si>
    <t>Pieces
/pallet
件/箱</t>
  </si>
  <si>
    <t xml:space="preserve">
pallet
托</t>
  </si>
  <si>
    <t>Net weight
NW/pallet
（KG）
净重</t>
  </si>
  <si>
    <t>Gross weight
GW/pallet
（KG）
总重</t>
  </si>
  <si>
    <t>Dimensions (mm) and volume (m3) / pallet
托盘尺寸</t>
  </si>
  <si>
    <t>Total Net weight
NW
（KG）
总净重</t>
  </si>
  <si>
    <t>Total Gross weight
GW
(KG）
总毛重</t>
  </si>
  <si>
    <t xml:space="preserve">
Volume M³
总体积</t>
  </si>
  <si>
    <t>勾头道钉
Dog spike</t>
  </si>
  <si>
    <t>16x16x170</t>
  </si>
  <si>
    <t>1/52-52/52</t>
  </si>
  <si>
    <t>1200*800*550
0.53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</si>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</sst>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58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58" fontId="5" fillId="0" borderId="2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6"/>
  <sheetViews>
    <sheetView tabSelected="1" workbookViewId="0">
      <selection activeCell="N8" sqref="N8:Q8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8.375" customWidth="1"/>
    <col min="5" max="5" width="12.25" customWidth="1"/>
    <col min="6" max="6" width="7.75" customWidth="1"/>
    <col min="7" max="7" width="7.12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23" max="23" width="12.625"/>
  </cols>
  <sheetData>
    <row r="1" ht="57.95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80.1" customHeight="1" spans="1:17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3" t="s">
        <v>15</v>
      </c>
      <c r="P2" s="3" t="s">
        <v>16</v>
      </c>
      <c r="Q2" s="3" t="s">
        <v>17</v>
      </c>
    </row>
    <row r="3" ht="118" customHeight="1" spans="1:17">
      <c r="A3" s="6">
        <v>1</v>
      </c>
      <c r="B3" s="7" t="s">
        <v>18</v>
      </c>
      <c r="C3" s="8" t="s">
        <v>19</v>
      </c>
      <c r="D3" s="8"/>
      <c r="E3" s="20" t="s">
        <v>20</v>
      </c>
      <c r="F3" s="6">
        <f>J3*K3</f>
        <v>104000</v>
      </c>
      <c r="G3" s="8">
        <v>50</v>
      </c>
      <c r="H3" s="6">
        <f>I3*K3</f>
        <v>2080</v>
      </c>
      <c r="I3" s="6">
        <v>40</v>
      </c>
      <c r="J3" s="6">
        <f>I3*G3</f>
        <v>2000</v>
      </c>
      <c r="K3" s="6">
        <v>52</v>
      </c>
      <c r="L3" s="6">
        <v>668</v>
      </c>
      <c r="M3" s="6">
        <v>710</v>
      </c>
      <c r="N3" s="17" t="s">
        <v>21</v>
      </c>
      <c r="O3" s="6">
        <f>L3*K3</f>
        <v>34736</v>
      </c>
      <c r="P3" s="6">
        <f>M3*K3</f>
        <v>36920</v>
      </c>
      <c r="Q3" s="6">
        <f>0.53*K3</f>
        <v>27.56</v>
      </c>
    </row>
    <row r="4" ht="57" customHeight="1" spans="1:17">
      <c r="A4" s="10" t="s">
        <v>22</v>
      </c>
      <c r="B4" s="10"/>
      <c r="C4" s="10"/>
      <c r="D4" s="11"/>
      <c r="E4" s="10"/>
      <c r="F4" s="10">
        <f>SUM(F3:F3)</f>
        <v>104000</v>
      </c>
      <c r="G4" s="10"/>
      <c r="H4" s="10">
        <f t="shared" ref="G4:Q4" si="0">SUM(H3:H3)</f>
        <v>2080</v>
      </c>
      <c r="I4" s="10"/>
      <c r="J4" s="10"/>
      <c r="K4" s="10">
        <f t="shared" si="0"/>
        <v>52</v>
      </c>
      <c r="L4" s="10"/>
      <c r="M4" s="10"/>
      <c r="N4" s="10"/>
      <c r="O4" s="10">
        <f t="shared" si="0"/>
        <v>34736</v>
      </c>
      <c r="P4" s="10">
        <f t="shared" si="0"/>
        <v>36920</v>
      </c>
      <c r="Q4" s="10">
        <f t="shared" si="0"/>
        <v>27.56</v>
      </c>
    </row>
    <row r="5" ht="14.45" customHeight="1" spans="1:17">
      <c r="A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21" customHeight="1" spans="1:17">
      <c r="A6" s="12"/>
      <c r="B6" s="13"/>
      <c r="C6" s="14"/>
      <c r="N6" s="12"/>
      <c r="O6" s="12"/>
      <c r="P6" s="12"/>
      <c r="Q6" s="12"/>
    </row>
    <row r="7" ht="21" customHeight="1" spans="1:17">
      <c r="A7" s="12"/>
      <c r="B7" s="13"/>
      <c r="C7" s="15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ht="18.75" spans="1:17">
      <c r="A8" s="12"/>
      <c r="B8" s="12"/>
      <c r="C8" s="15"/>
      <c r="D8" s="12"/>
      <c r="E8" s="12"/>
      <c r="F8" s="12"/>
      <c r="G8" s="12"/>
      <c r="H8" s="12"/>
      <c r="I8" s="12"/>
      <c r="J8" s="12"/>
      <c r="K8" s="12"/>
      <c r="L8" s="12"/>
      <c r="M8" s="12"/>
      <c r="N8" s="18">
        <v>45836</v>
      </c>
      <c r="O8" s="18"/>
      <c r="P8" s="18"/>
      <c r="Q8" s="18"/>
    </row>
    <row r="9" ht="18.75" spans="1:17">
      <c r="A9" s="12"/>
      <c r="B9" s="12"/>
      <c r="C9" s="15"/>
      <c r="D9" s="12"/>
      <c r="E9" s="12"/>
      <c r="F9" s="12"/>
      <c r="G9" s="12"/>
      <c r="H9" s="12"/>
      <c r="I9" s="12"/>
      <c r="J9" s="12"/>
      <c r="K9" s="12"/>
      <c r="L9" s="12"/>
      <c r="M9" s="12"/>
      <c r="N9" s="19"/>
      <c r="O9" s="19"/>
      <c r="P9" s="19"/>
      <c r="Q9" s="19"/>
    </row>
    <row r="10" ht="15" spans="1:17">
      <c r="A10" s="16"/>
      <c r="B10" s="16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15" spans="1:17">
      <c r="A11" s="16"/>
      <c r="B11" s="16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ht="15" spans="1:17">
      <c r="A12" s="16"/>
      <c r="B12" s="16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  <row r="13" spans="1:17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7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</row>
    <row r="15" spans="1:17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  <row r="16" spans="1:17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</sheetData>
  <mergeCells count="4">
    <mergeCell ref="A1:Q1"/>
    <mergeCell ref="A4:C4"/>
    <mergeCell ref="N8:Q8"/>
    <mergeCell ref="N9:Q9"/>
  </mergeCells>
  <pageMargins left="0.905511811023622" right="0.511811023622047" top="0.196850393700787" bottom="0.748031496062992" header="0.31496062992126" footer="0.31496062992126"/>
  <pageSetup paperSize="9" scale="9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汪叽</cp:lastModifiedBy>
  <dcterms:created xsi:type="dcterms:W3CDTF">2006-09-13T11:21:00Z</dcterms:created>
  <dcterms:modified xsi:type="dcterms:W3CDTF">2025-06-28T06:29:44Z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2052-12.1.0.21541</vt:lpwstr>
  </property>
</Properties>
</file>