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A0F6FE62-C7F2-4052-A930-E562A9CDAE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P7" i="1"/>
  <c r="O7" i="1"/>
  <c r="K7" i="1"/>
  <c r="F7" i="1"/>
  <c r="Q5" i="1"/>
  <c r="P5" i="1"/>
  <c r="O5" i="1"/>
  <c r="K5" i="1"/>
  <c r="F5" i="1"/>
  <c r="Q6" i="1"/>
  <c r="H6" i="1"/>
  <c r="F6" i="1" s="1"/>
  <c r="J6" i="1"/>
  <c r="M6" i="1"/>
  <c r="P6" i="1" s="1"/>
  <c r="O6" i="1"/>
  <c r="Q4" i="1"/>
  <c r="O4" i="1"/>
  <c r="M4" i="1"/>
  <c r="P4" i="1" s="1"/>
  <c r="J4" i="1"/>
  <c r="H4" i="1"/>
  <c r="F4" i="1"/>
  <c r="Q3" i="1"/>
  <c r="O3" i="1"/>
  <c r="M3" i="1"/>
  <c r="P3" i="1" s="1"/>
  <c r="J3" i="1"/>
  <c r="H3" i="1"/>
  <c r="F3" i="1"/>
</calcChain>
</file>

<file path=xl/sharedStrings.xml><?xml version="1.0" encoding="utf-8"?>
<sst xmlns="http://schemas.openxmlformats.org/spreadsheetml/2006/main" count="38" uniqueCount="32">
  <si>
    <t>包  装  明  细  表</t>
  </si>
  <si>
    <t>柜号</t>
  </si>
  <si>
    <t>产品名称</t>
  </si>
  <si>
    <t>型号及规格</t>
  </si>
  <si>
    <t>合同号</t>
  </si>
  <si>
    <t>托号</t>
  </si>
  <si>
    <t>件</t>
  </si>
  <si>
    <t>件/袋</t>
  </si>
  <si>
    <t>袋</t>
  </si>
  <si>
    <t>袋/托</t>
  </si>
  <si>
    <t>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</si>
  <si>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</si>
  <si>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</si>
  <si>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</si>
  <si>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</si>
  <si>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</si>
  <si>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</si>
  <si>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</si>
  <si>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
道钉</t>
  </si>
  <si>
    <t>22x123</t>
  </si>
  <si>
    <t>ZSTL-XN2025070901-2</t>
  </si>
  <si>
    <t>950*950*650
0.59</t>
  </si>
  <si>
    <t>合计</t>
  </si>
  <si>
    <t>唛头：</t>
  </si>
  <si>
    <t>苏州苏德兰铁路配件有限公司</t>
  </si>
  <si>
    <t>1/92
-
92/92</t>
    <phoneticPr fontId="7" type="noConversion"/>
  </si>
  <si>
    <t xml:space="preserve">93/93
</t>
    <phoneticPr fontId="7" type="noConversion"/>
  </si>
  <si>
    <t>950*950*800
0.72</t>
    <phoneticPr fontId="7" type="noConversion"/>
  </si>
  <si>
    <t>ZSTL-XN2025070901-2</t>
    <phoneticPr fontId="7" type="noConversion"/>
  </si>
  <si>
    <t>94-94</t>
    <phoneticPr fontId="7" type="noConversion"/>
  </si>
  <si>
    <t>合同外数量</t>
    <phoneticPr fontId="7" type="noConversion"/>
  </si>
  <si>
    <t>合计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</si>
</sst>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[$-F800]dddd\,\ mmmm\ dd\,\ yyyy"/>
    <numFmt numFmtId="179" formatCode="0.00_);[Red]\(0.00\)"/>
    <numFmt numFmtId="180" formatCode="0_);[Red]\(0\)"/>
  </numFmts>
  <fonts count="14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0"/>
      <color theme="5"/>
      <name val="宋体"/>
      <family val="3"/>
      <charset val="134"/>
      <scheme val="minor"/>
    </font>
    <font>
      <sz val="9"/>
      <color theme="5"/>
      <name val="宋体"/>
      <family val="3"/>
      <charset val="134"/>
      <scheme val="minor"/>
    </font>
    <font>
      <sz val="8"/>
      <color theme="5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8" fontId="0" fillId="0" borderId="0">
      <alignment vertical="center"/>
    </xf>
  </cellStyleXfs>
  <cellXfs count="31">
    <xf numFmtId="178" fontId="0" fillId="0" borderId="0" xfId="0">
      <alignment vertical="center"/>
    </xf>
    <xf numFmtId="179" fontId="0" fillId="0" borderId="0" xfId="0" applyNumberFormat="1">
      <alignment vertical="center"/>
    </xf>
    <xf numFmtId="178" fontId="2" fillId="0" borderId="2" xfId="0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179" fontId="3" fillId="0" borderId="3" xfId="0" applyNumberFormat="1" applyFont="1" applyBorder="1" applyAlignment="1">
      <alignment horizontal="center" vertical="center" wrapText="1"/>
    </xf>
    <xf numFmtId="179" fontId="2" fillId="0" borderId="3" xfId="0" applyNumberFormat="1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8" fontId="2" fillId="0" borderId="0" xfId="0" applyFont="1" applyAlignment="1">
      <alignment horizontal="center" vertical="center"/>
    </xf>
    <xf numFmtId="178" fontId="4" fillId="0" borderId="0" xfId="0" applyFont="1">
      <alignment vertical="center"/>
    </xf>
    <xf numFmtId="178" fontId="5" fillId="0" borderId="0" xfId="0" applyFont="1" applyAlignment="1">
      <alignment horizontal="center" vertical="center"/>
    </xf>
    <xf numFmtId="178" fontId="0" fillId="0" borderId="0" xfId="0" applyAlignment="1">
      <alignment horizontal="center" vertical="center"/>
    </xf>
    <xf numFmtId="178" fontId="2" fillId="0" borderId="2" xfId="0" applyFont="1" applyBorder="1" applyAlignment="1">
      <alignment horizontal="center" vertical="center" wrapText="1"/>
    </xf>
    <xf numFmtId="179" fontId="5" fillId="0" borderId="2" xfId="0" applyNumberFormat="1" applyFont="1" applyBorder="1" applyAlignment="1">
      <alignment horizontal="center" vertical="center" wrapText="1"/>
    </xf>
    <xf numFmtId="178" fontId="1" fillId="0" borderId="1" xfId="0" applyFont="1" applyBorder="1" applyAlignment="1">
      <alignment horizontal="center" vertical="center"/>
    </xf>
    <xf numFmtId="178" fontId="6" fillId="0" borderId="0" xfId="0" applyFont="1" applyAlignment="1">
      <alignment horizontal="right" vertical="center"/>
    </xf>
    <xf numFmtId="179" fontId="8" fillId="0" borderId="2" xfId="0" applyNumberFormat="1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180" fontId="10" fillId="0" borderId="3" xfId="0" applyNumberFormat="1" applyFont="1" applyFill="1" applyBorder="1" applyAlignment="1">
      <alignment horizontal="center" vertical="center"/>
    </xf>
    <xf numFmtId="179" fontId="11" fillId="0" borderId="3" xfId="0" applyNumberFormat="1" applyFont="1" applyFill="1" applyBorder="1" applyAlignment="1">
      <alignment horizontal="center" vertical="center" wrapText="1"/>
    </xf>
    <xf numFmtId="179" fontId="10" fillId="0" borderId="3" xfId="0" applyNumberFormat="1" applyFont="1" applyFill="1" applyBorder="1" applyAlignment="1">
      <alignment horizontal="center" vertical="center" wrapText="1"/>
    </xf>
    <xf numFmtId="179" fontId="10" fillId="0" borderId="2" xfId="0" applyNumberFormat="1" applyFont="1" applyFill="1" applyBorder="1" applyAlignment="1">
      <alignment horizontal="center" vertical="center" wrapText="1"/>
    </xf>
    <xf numFmtId="180" fontId="10" fillId="0" borderId="2" xfId="0" applyNumberFormat="1" applyFont="1" applyFill="1" applyBorder="1" applyAlignment="1">
      <alignment horizontal="center" vertical="center"/>
    </xf>
    <xf numFmtId="179" fontId="12" fillId="0" borderId="2" xfId="0" applyNumberFormat="1" applyFont="1" applyFill="1" applyBorder="1" applyAlignment="1">
      <alignment horizontal="center" vertical="center" wrapText="1"/>
    </xf>
    <xf numFmtId="179" fontId="10" fillId="0" borderId="2" xfId="0" applyNumberFormat="1" applyFont="1" applyFill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179" fontId="10" fillId="0" borderId="5" xfId="0" applyNumberFormat="1" applyFont="1" applyBorder="1" applyAlignment="1">
      <alignment horizontal="center" vertical="center"/>
    </xf>
    <xf numFmtId="179" fontId="10" fillId="0" borderId="6" xfId="0" applyNumberFormat="1" applyFont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/>
    </xf>
    <xf numFmtId="180" fontId="10" fillId="0" borderId="2" xfId="0" applyNumberFormat="1" applyFont="1" applyBorder="1" applyAlignment="1">
      <alignment horizontal="center" vertical="center"/>
    </xf>
    <xf numFmtId="179" fontId="1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zoomScale="115" zoomScaleNormal="115" workbookViewId="0">
      <selection activeCell="S11" sqref="S11"/>
    </sheetView>
  </sheetViews>
  <sheetFormatPr defaultColWidth="9" defaultRowHeight="13.5" x14ac:dyDescent="0.15"/>
  <cols>
    <col min="1" max="1" width="4.625" customWidth="1"/>
    <col min="2" max="2" width="8.25" customWidth="1"/>
    <col min="3" max="3" width="9.125" customWidth="1"/>
    <col min="4" max="4" width="9.625" customWidth="1"/>
    <col min="5" max="5" width="6.375" customWidth="1"/>
    <col min="6" max="6" width="8.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8" ht="65.2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8" ht="32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12" t="s">
        <v>12</v>
      </c>
      <c r="M2" s="12" t="s">
        <v>13</v>
      </c>
      <c r="N2" s="2" t="s">
        <v>14</v>
      </c>
      <c r="O2" s="12" t="s">
        <v>15</v>
      </c>
      <c r="P2" s="12" t="s">
        <v>16</v>
      </c>
      <c r="Q2" s="12" t="s">
        <v>17</v>
      </c>
    </row>
    <row r="3" spans="1:18" ht="70.5" customHeight="1" x14ac:dyDescent="0.15">
      <c r="A3" s="3">
        <v>1</v>
      </c>
      <c r="B3" s="4" t="s">
        <v>18</v>
      </c>
      <c r="C3" s="5" t="s">
        <v>19</v>
      </c>
      <c r="D3" s="5" t="s">
        <v>20</v>
      </c>
      <c r="E3" s="16" t="s">
        <v>25</v>
      </c>
      <c r="F3" s="6">
        <f>G3*H3</f>
        <v>147200</v>
      </c>
      <c r="G3" s="6">
        <v>40</v>
      </c>
      <c r="H3" s="6">
        <f>K3*I3</f>
        <v>3680</v>
      </c>
      <c r="I3" s="6">
        <v>40</v>
      </c>
      <c r="J3" s="6">
        <f>I3*G3</f>
        <v>1600</v>
      </c>
      <c r="K3" s="6">
        <v>92</v>
      </c>
      <c r="L3" s="6">
        <v>778</v>
      </c>
      <c r="M3" s="6">
        <f>L3+20</f>
        <v>798</v>
      </c>
      <c r="N3" s="13" t="s">
        <v>21</v>
      </c>
      <c r="O3" s="6">
        <f>L3*K3</f>
        <v>71576</v>
      </c>
      <c r="P3" s="6">
        <f>M3*K3</f>
        <v>73416</v>
      </c>
      <c r="Q3" s="7">
        <f>0.59*K3</f>
        <v>54.279999999999994</v>
      </c>
    </row>
    <row r="4" spans="1:18" ht="70.5" customHeight="1" x14ac:dyDescent="0.15">
      <c r="A4" s="3">
        <v>2</v>
      </c>
      <c r="B4" s="4" t="s">
        <v>18</v>
      </c>
      <c r="C4" s="5" t="s">
        <v>19</v>
      </c>
      <c r="D4" s="5" t="s">
        <v>20</v>
      </c>
      <c r="E4" s="16" t="s">
        <v>26</v>
      </c>
      <c r="F4" s="6">
        <f>G4*H4</f>
        <v>2000</v>
      </c>
      <c r="G4" s="6">
        <v>40</v>
      </c>
      <c r="H4" s="6">
        <f>K4*I4</f>
        <v>50</v>
      </c>
      <c r="I4" s="6">
        <v>50</v>
      </c>
      <c r="J4" s="6">
        <f>I4*G4</f>
        <v>2000</v>
      </c>
      <c r="K4" s="6">
        <v>1</v>
      </c>
      <c r="L4" s="6">
        <v>973</v>
      </c>
      <c r="M4" s="6">
        <f>L4+20</f>
        <v>993</v>
      </c>
      <c r="N4" s="17" t="s">
        <v>27</v>
      </c>
      <c r="O4" s="6">
        <f>L4*K4</f>
        <v>973</v>
      </c>
      <c r="P4" s="6">
        <f>M4*K4</f>
        <v>993</v>
      </c>
      <c r="Q4" s="7">
        <f>0.72*K4</f>
        <v>0.72</v>
      </c>
    </row>
    <row r="5" spans="1:18" ht="70.5" customHeight="1" x14ac:dyDescent="0.15">
      <c r="A5" s="3" t="s">
        <v>22</v>
      </c>
      <c r="B5" s="4"/>
      <c r="C5" s="5"/>
      <c r="D5" s="5"/>
      <c r="E5" s="16"/>
      <c r="F5" s="6">
        <f>SUM(F3:F4)</f>
        <v>149200</v>
      </c>
      <c r="G5" s="6"/>
      <c r="H5" s="6"/>
      <c r="I5" s="6"/>
      <c r="J5" s="6"/>
      <c r="K5" s="6">
        <f>SUM(K3:K4)</f>
        <v>93</v>
      </c>
      <c r="L5" s="6"/>
      <c r="M5" s="6"/>
      <c r="N5" s="17"/>
      <c r="O5" s="6">
        <f>SUM(O3:O4)</f>
        <v>72549</v>
      </c>
      <c r="P5" s="6">
        <f>SUM(P3:P4)</f>
        <v>74409</v>
      </c>
      <c r="Q5" s="7">
        <f>SUM(Q3:Q4)</f>
        <v>54.999999999999993</v>
      </c>
    </row>
    <row r="6" spans="1:18" s="1" customFormat="1" ht="86.1" customHeight="1" x14ac:dyDescent="0.15">
      <c r="A6" s="18">
        <v>3</v>
      </c>
      <c r="B6" s="19" t="s">
        <v>18</v>
      </c>
      <c r="C6" s="20" t="s">
        <v>19</v>
      </c>
      <c r="D6" s="20" t="s">
        <v>28</v>
      </c>
      <c r="E6" s="21" t="s">
        <v>29</v>
      </c>
      <c r="F6" s="22">
        <f>G6*H6</f>
        <v>1320</v>
      </c>
      <c r="G6" s="22">
        <v>40</v>
      </c>
      <c r="H6" s="22">
        <f>K6*I6</f>
        <v>33</v>
      </c>
      <c r="I6" s="22">
        <v>33</v>
      </c>
      <c r="J6" s="22">
        <f>I6*G6</f>
        <v>1320</v>
      </c>
      <c r="K6" s="22">
        <v>1</v>
      </c>
      <c r="L6" s="22">
        <v>642</v>
      </c>
      <c r="M6" s="22">
        <f>L6+20</f>
        <v>662</v>
      </c>
      <c r="N6" s="23" t="s">
        <v>21</v>
      </c>
      <c r="O6" s="22">
        <f>L6*K6</f>
        <v>642</v>
      </c>
      <c r="P6" s="22">
        <f>M6*K6</f>
        <v>662</v>
      </c>
      <c r="Q6" s="24">
        <f>0.59*K6</f>
        <v>0.59</v>
      </c>
      <c r="R6" s="30" t="s">
        <v>30</v>
      </c>
    </row>
    <row r="7" spans="1:18" s="1" customFormat="1" ht="35.25" customHeight="1" x14ac:dyDescent="0.15">
      <c r="A7" s="25" t="s">
        <v>31</v>
      </c>
      <c r="B7" s="26"/>
      <c r="C7" s="27"/>
      <c r="D7" s="28"/>
      <c r="E7" s="28"/>
      <c r="F7" s="29">
        <f>SUM(F5:F6)</f>
        <v>150520</v>
      </c>
      <c r="G7" s="29"/>
      <c r="H7" s="29"/>
      <c r="I7" s="29"/>
      <c r="J7" s="29"/>
      <c r="K7" s="29">
        <f>SUM(K5:K6)</f>
        <v>94</v>
      </c>
      <c r="L7" s="29"/>
      <c r="M7" s="29"/>
      <c r="N7" s="28"/>
      <c r="O7" s="29">
        <f>SUM(O5:O6)</f>
        <v>73191</v>
      </c>
      <c r="P7" s="29">
        <f>SUM(P5:P6)</f>
        <v>75071</v>
      </c>
      <c r="Q7" s="28">
        <f>SUM(Q5:Q6)</f>
        <v>55.589999999999996</v>
      </c>
    </row>
    <row r="8" spans="1:18" ht="21" customHeight="1" x14ac:dyDescent="0.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8" ht="21" customHeight="1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8" ht="21" customHeight="1" x14ac:dyDescent="0.15">
      <c r="A10" s="8"/>
      <c r="B10" s="8" t="s">
        <v>23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8"/>
      <c r="O10" s="8"/>
      <c r="P10" s="8"/>
      <c r="Q10" s="8"/>
    </row>
    <row r="11" spans="1:18" ht="14.25" x14ac:dyDescent="0.15">
      <c r="A11" s="8"/>
      <c r="B11" s="8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5" t="s">
        <v>24</v>
      </c>
      <c r="O11" s="15"/>
      <c r="P11" s="15"/>
      <c r="Q11" s="15"/>
    </row>
    <row r="12" spans="1:18" ht="14.25" x14ac:dyDescent="0.15">
      <c r="A12" s="8"/>
      <c r="B12" s="8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5">
        <v>45962</v>
      </c>
      <c r="O12" s="15"/>
      <c r="P12" s="15"/>
      <c r="Q12" s="15"/>
    </row>
    <row r="13" spans="1:18" x14ac:dyDescent="0.15">
      <c r="A13" s="11"/>
      <c r="B13" s="1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  <c r="O13" s="11"/>
      <c r="P13" s="11"/>
      <c r="Q13" s="11"/>
    </row>
    <row r="14" spans="1:18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8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8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x14ac:dyDescent="0.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</sheetData>
  <mergeCells count="4">
    <mergeCell ref="A1:Q1"/>
    <mergeCell ref="A7:C7"/>
    <mergeCell ref="N11:Q11"/>
    <mergeCell ref="N12:Q12"/>
  </mergeCells>
  <phoneticPr fontId="7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 Qing SuDelan</cp:lastModifiedBy>
  <dcterms:created xsi:type="dcterms:W3CDTF">2006-09-13T11:21:00Z</dcterms:created>
  <dcterms:modified xsi:type="dcterms:W3CDTF">2025-11-01T08:31:02Z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CDB2D16645B94F8D8BDBEF3B6A9B4456_13</vt:lpwstr>
  </property>
  <property fmtid="{D5CDD505-2E9C-101B-9397-08002B2CF9AE}" pid="3" name="KSOProductBuildVer">
    <vt:lpwstr>2052-12.1.0.23125</vt:lpwstr>
  </property>
</Properties>
</file>