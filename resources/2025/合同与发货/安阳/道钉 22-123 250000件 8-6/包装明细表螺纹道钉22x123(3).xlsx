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465" windowHeight="4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<sst xmlns="http://schemas.openxmlformats.org/spreadsheetml/2006/main" count="26" uniqueCount="26">
  <si>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包  装  明  细  表</t>
  </si>
  <si>
    <t>柜号</t>
  </si>
  <si>
    <t>产品名称</t>
  </si>
  <si>
    <t>型号及规格</t>
  </si>
  <si>
    <t>合同号</t>
  </si>
  <si>
    <t>托号</t>
  </si>
  <si>
    <t>件</t>
  </si>
  <si>
    <t>件/袋</t>
  </si>
  <si>
    <t>袋</t>
  </si>
  <si>
    <t>袋/托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</si>
  <si>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</si>
  <si>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</si>
  <si>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</si>
  <si>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</si>
  <si>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</si>
  <si>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</si>
  <si>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</si>
  <si>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</si>
  <si>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
道钉</t>
  </si>
  <si>
    <t>22x123</t>
  </si>
  <si>
    <t>ZSTL-XN2025070901-2</t>
  </si>
  <si>
    <t>1/63
-
63/63</t>
  </si>
  <si>
    <t>950*950*650
0.59</t>
  </si>
  <si>
    <t>合计</t>
  </si>
  <si>
    <t>唛头：</t>
  </si>
  <si>
    <t>苏州苏德兰铁路配件有限公司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</si>
</sst>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);[Red]\(0.00\)"/>
    <numFmt numFmtId="178" formatCode="0_);[Red]\(0\)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2">
    <xf numFmtId="176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Border="1">
      <alignment vertical="center"/>
    </xf>
    <xf numFmtId="176" fontId="1" fillId="0" borderId="1" xfId="0" applyFont="1" applyBorder="1" applyAlignment="1">
      <alignment horizontal="center" vertical="center"/>
    </xf>
    <xf numFmtId="176" fontId="2" fillId="0" borderId="2" xfId="0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4" fillId="0" borderId="0" xfId="0" applyFont="1">
      <alignment vertical="center"/>
    </xf>
    <xf numFmtId="176" fontId="5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176" fontId="6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zoomScale="115" zoomScaleNormal="115" topLeftCell="A2" workbookViewId="0">
      <selection activeCell="E3" sqref="E3"/>
    </sheetView>
  </sheetViews>
  <sheetFormatPr defaultColWidth="9" defaultRowHeight="13.5"/>
  <cols>
    <col min="1" max="1" width="4.625" customWidth="1"/>
    <col min="2" max="2" width="8.25" customWidth="1"/>
    <col min="3" max="3" width="9.125" customWidth="1"/>
    <col min="4" max="4" width="9.625" customWidth="1"/>
    <col min="5" max="5" width="6.375" customWidth="1"/>
    <col min="6" max="6" width="8.25833333333333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ht="65.25" customHeight="1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32.25" customHeight="1" spans="1:1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18" t="s">
        <v>12</v>
      </c>
      <c r="M2" s="18" t="s">
        <v>13</v>
      </c>
      <c r="N2" s="4" t="s">
        <v>14</v>
      </c>
      <c r="O2" s="18" t="s">
        <v>15</v>
      </c>
      <c r="P2" s="18" t="s">
        <v>16</v>
      </c>
      <c r="Q2" s="18" t="s">
        <v>17</v>
      </c>
    </row>
    <row r="3" s="1" customFormat="1" ht="86" customHeight="1" spans="1:17">
      <c r="A3" s="5">
        <v>1</v>
      </c>
      <c r="B3" s="6" t="s">
        <v>18</v>
      </c>
      <c r="C3" s="7" t="s">
        <v>19</v>
      </c>
      <c r="D3" s="7" t="s">
        <v>20</v>
      </c>
      <c r="E3" s="8" t="s">
        <v>21</v>
      </c>
      <c r="F3" s="9">
        <f>G3*H3</f>
        <v>100800</v>
      </c>
      <c r="G3" s="9">
        <v>40</v>
      </c>
      <c r="H3" s="9">
        <f>K3*I3</f>
        <v>2520</v>
      </c>
      <c r="I3" s="9">
        <v>40</v>
      </c>
      <c r="J3" s="9">
        <f>I3*G3</f>
        <v>1600</v>
      </c>
      <c r="K3" s="9">
        <v>63</v>
      </c>
      <c r="L3" s="9">
        <v>778</v>
      </c>
      <c r="M3" s="9">
        <f>L3+20</f>
        <v>798</v>
      </c>
      <c r="N3" s="19" t="s">
        <v>22</v>
      </c>
      <c r="O3" s="9">
        <f>L3*K3</f>
        <v>49014</v>
      </c>
      <c r="P3" s="9">
        <f>M3*K3</f>
        <v>50274</v>
      </c>
      <c r="Q3" s="13">
        <f>0.59*K3</f>
        <v>37.17</v>
      </c>
    </row>
    <row r="4" s="2" customFormat="1" ht="35.25" customHeight="1" spans="1:17">
      <c r="A4" s="10" t="s">
        <v>23</v>
      </c>
      <c r="B4" s="11"/>
      <c r="C4" s="12"/>
      <c r="D4" s="13"/>
      <c r="E4" s="13"/>
      <c r="F4" s="9">
        <f>SUM(F3:F3)</f>
        <v>100800</v>
      </c>
      <c r="G4" s="9"/>
      <c r="H4" s="9">
        <f>SUM(H3:H3)</f>
        <v>2520</v>
      </c>
      <c r="I4" s="9"/>
      <c r="J4" s="9"/>
      <c r="K4" s="9">
        <f>SUM(K3:K3)</f>
        <v>63</v>
      </c>
      <c r="L4" s="9"/>
      <c r="M4" s="9"/>
      <c r="N4" s="13"/>
      <c r="O4" s="9">
        <f>SUM(O3:O3)</f>
        <v>49014</v>
      </c>
      <c r="P4" s="9">
        <f>SUM(P3:P3)</f>
        <v>50274</v>
      </c>
      <c r="Q4" s="13">
        <f>SUM(Q3:Q3)</f>
        <v>37.17</v>
      </c>
    </row>
    <row r="5" ht="21" customHeight="1" spans="1:17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ht="21" customHeight="1" spans="1:17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21" customHeight="1" spans="1:17">
      <c r="A7" s="14"/>
      <c r="B7" s="14" t="s">
        <v>24</v>
      </c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4"/>
      <c r="O7" s="14"/>
      <c r="P7" s="14"/>
      <c r="Q7" s="14"/>
    </row>
    <row r="8" ht="14.25" spans="1:17">
      <c r="A8" s="14"/>
      <c r="B8" s="14"/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20" t="s">
        <v>25</v>
      </c>
      <c r="O8" s="20"/>
      <c r="P8" s="20"/>
      <c r="Q8" s="20"/>
    </row>
    <row r="9" ht="14.25" spans="1:17">
      <c r="A9" s="14"/>
      <c r="B9" s="14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21">
        <v>45946</v>
      </c>
      <c r="O9" s="21"/>
      <c r="P9" s="21"/>
      <c r="Q9" s="21"/>
    </row>
    <row r="10" spans="1:17">
      <c r="A10" s="17"/>
      <c r="B10" s="17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  <c r="O10" s="17"/>
      <c r="P10" s="17"/>
      <c r="Q10" s="17"/>
    </row>
    <row r="11" spans="1:17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1:17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</sheetData>
  <mergeCells count="4">
    <mergeCell ref="A1:Q1"/>
    <mergeCell ref="A4:C4"/>
    <mergeCell ref="N8:Q8"/>
    <mergeCell ref="N9:Q9"/>
  </mergeCells>
  <pageMargins left="0.7" right="0.7" top="0.75" bottom="0.75" header="0.3" footer="0.3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汪叽</cp:lastModifiedBy>
  <dcterms:created xsi:type="dcterms:W3CDTF">2006-09-13T11:21:00Z</dcterms:created>
  <dcterms:modified xsi:type="dcterms:W3CDTF">2025-10-16T01:07:55Z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CDB2D16645B94F8D8BDBEF3B6A9B4456_13</vt:lpwstr>
  </property>
  <property fmtid="{D5CDD505-2E9C-101B-9397-08002B2CF9AE}" pid="3" name="KSOProductBuildVer">
    <vt:lpwstr>2052-12.1.0.23125</vt:lpwstr>
  </property>
</Properties>
</file>