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N2道钉 45000+N5道钉45000 7-6\"/>
    </mc:Choice>
  </mc:AlternateContent>
  <xr:revisionPtr revIDLastSave="0" documentId="13_ncr:1_{4F902A60-D753-4B83-A86E-2584E79ED2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O4" i="1"/>
  <c r="N4" i="1"/>
  <c r="L4" i="1"/>
  <c r="I4" i="1"/>
  <c r="G4" i="1"/>
  <c r="E4" i="1" s="1"/>
  <c r="P6" i="1"/>
  <c r="J7" i="1"/>
  <c r="L5" i="1"/>
  <c r="O5" i="1" s="1"/>
  <c r="L6" i="1"/>
  <c r="O6" i="1" s="1"/>
  <c r="L3" i="1"/>
  <c r="O3" i="1" s="1"/>
  <c r="N6" i="1"/>
  <c r="I6" i="1"/>
  <c r="E6" i="1"/>
  <c r="P5" i="1"/>
  <c r="N5" i="1"/>
  <c r="I5" i="1"/>
  <c r="G5" i="1"/>
  <c r="E5" i="1"/>
  <c r="P3" i="1"/>
  <c r="N3" i="1"/>
  <c r="I3" i="1"/>
  <c r="G3" i="1"/>
  <c r="E3" i="1" s="1"/>
  <c r="P7" i="1" l="1"/>
  <c r="G7" i="1"/>
  <c r="N7" i="1"/>
  <c r="O7" i="1"/>
  <c r="E7" i="1"/>
</calcChain>
</file>

<file path=xl/sharedStrings.xml><?xml version="1.0" encoding="utf-8"?>
<sst xmlns="http://schemas.openxmlformats.org/spreadsheetml/2006/main" count="33" uniqueCount="27">
  <si>
    <t>包  装  明  细  表</t>
  </si>
  <si>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</si>
  <si>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</si>
  <si>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</si>
  <si>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</si>
  <si>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</si>
  <si>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</si>
  <si>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</si>
  <si>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</si>
  <si>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</si>
  <si>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</si>
  <si>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</si>
  <si>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</si>
  <si>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</si>
  <si>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</si>
  <si>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</si>
  <si>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</si>
  <si>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ZSTL-XN2025071501-2</t>
    <phoneticPr fontId="6" type="noConversion"/>
  </si>
  <si>
    <t>N2道钉</t>
    <phoneticPr fontId="6" type="noConversion"/>
  </si>
  <si>
    <t>24*149</t>
    <phoneticPr fontId="6" type="noConversion"/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</si>
  <si>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</si>
  <si>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</si>
  <si>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</si>
  <si>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950*950*540
</t>
    </r>
    <r>
      <rPr>
        <sz val="10"/>
        <color theme="1"/>
        <rFont val="宋体"/>
        <family val="3"/>
        <charset val="134"/>
        <scheme val="minor"/>
      </rPr>
      <t>0.49</t>
    </r>
    <phoneticPr fontId="6" type="noConversion"/>
  </si>
  <si>
    <t>N5道钉</t>
    <phoneticPr fontId="6" type="noConversion"/>
  </si>
  <si>
    <t>24*150</t>
    <phoneticPr fontId="6" type="noConversion"/>
  </si>
  <si>
    <r>
      <t xml:space="preserve">950*950*350
</t>
    </r>
    <r>
      <rPr>
        <sz val="10"/>
        <color rgb="FFFF0000"/>
        <rFont val="宋体"/>
        <family val="3"/>
        <charset val="134"/>
        <scheme val="minor"/>
      </rPr>
      <t>0.32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</si>
</sst>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topLeftCell="A2" zoomScale="115" zoomScaleNormal="115" workbookViewId="0">
      <selection activeCell="L6" sqref="L6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20</v>
      </c>
      <c r="G2" s="1" t="s">
        <v>22</v>
      </c>
      <c r="H2" s="1" t="s">
        <v>21</v>
      </c>
      <c r="I2" s="2" t="s">
        <v>6</v>
      </c>
      <c r="J2" s="1" t="s">
        <v>7</v>
      </c>
      <c r="K2" s="2" t="s">
        <v>8</v>
      </c>
      <c r="L2" s="2" t="s">
        <v>9</v>
      </c>
      <c r="M2" s="1" t="s">
        <v>10</v>
      </c>
      <c r="N2" s="2" t="s">
        <v>11</v>
      </c>
      <c r="O2" s="2" t="s">
        <v>12</v>
      </c>
      <c r="P2" s="2" t="s">
        <v>13</v>
      </c>
    </row>
    <row r="3" spans="1:16" ht="43.5" customHeight="1" x14ac:dyDescent="0.15">
      <c r="A3" s="3">
        <v>1</v>
      </c>
      <c r="B3" s="4" t="s">
        <v>18</v>
      </c>
      <c r="C3" s="4" t="s">
        <v>19</v>
      </c>
      <c r="D3" s="21" t="s">
        <v>17</v>
      </c>
      <c r="E3" s="3">
        <f>F3*G3</f>
        <v>44400</v>
      </c>
      <c r="F3" s="3">
        <v>40</v>
      </c>
      <c r="G3" s="3">
        <f>H3*J3</f>
        <v>1110</v>
      </c>
      <c r="H3" s="3">
        <v>30</v>
      </c>
      <c r="I3" s="3">
        <f>H3*F3</f>
        <v>1200</v>
      </c>
      <c r="J3" s="3">
        <v>37</v>
      </c>
      <c r="K3" s="3">
        <v>697.2</v>
      </c>
      <c r="L3" s="3">
        <f>K3+20</f>
        <v>717.2</v>
      </c>
      <c r="M3" s="10" t="s">
        <v>23</v>
      </c>
      <c r="N3" s="12">
        <f>K3*J3</f>
        <v>25796.400000000001</v>
      </c>
      <c r="O3" s="12">
        <f t="shared" ref="O3:O4" si="0">L3*J3</f>
        <v>26536.400000000001</v>
      </c>
      <c r="P3" s="3">
        <f>0.49*J3</f>
        <v>18.13</v>
      </c>
    </row>
    <row r="4" spans="1:16" ht="43.5" customHeight="1" x14ac:dyDescent="0.15">
      <c r="A4" s="3">
        <v>2</v>
      </c>
      <c r="B4" s="4" t="s">
        <v>18</v>
      </c>
      <c r="C4" s="4" t="s">
        <v>19</v>
      </c>
      <c r="D4" s="22"/>
      <c r="E4" s="3">
        <f>F4*G4</f>
        <v>600</v>
      </c>
      <c r="F4" s="3">
        <v>40</v>
      </c>
      <c r="G4" s="3">
        <f>H4*J4</f>
        <v>15</v>
      </c>
      <c r="H4" s="3">
        <v>15</v>
      </c>
      <c r="I4" s="3">
        <f>H4*F4</f>
        <v>600</v>
      </c>
      <c r="J4" s="3">
        <v>1</v>
      </c>
      <c r="K4" s="3">
        <v>348.6</v>
      </c>
      <c r="L4" s="3">
        <f>K4+20</f>
        <v>368.6</v>
      </c>
      <c r="M4" s="11" t="s">
        <v>26</v>
      </c>
      <c r="N4" s="3">
        <f>K4*J4</f>
        <v>348.6</v>
      </c>
      <c r="O4" s="3">
        <f t="shared" si="0"/>
        <v>368.6</v>
      </c>
      <c r="P4" s="3">
        <f>0.32*J4</f>
        <v>0.32</v>
      </c>
    </row>
    <row r="5" spans="1:16" ht="43.5" customHeight="1" x14ac:dyDescent="0.15">
      <c r="A5" s="3">
        <v>3</v>
      </c>
      <c r="B5" s="4" t="s">
        <v>24</v>
      </c>
      <c r="C5" s="4" t="s">
        <v>25</v>
      </c>
      <c r="D5" s="22"/>
      <c r="E5" s="3">
        <f>F5*G5</f>
        <v>44400</v>
      </c>
      <c r="F5" s="3">
        <v>40</v>
      </c>
      <c r="G5" s="3">
        <f>H5*J5</f>
        <v>1110</v>
      </c>
      <c r="H5" s="3">
        <v>30</v>
      </c>
      <c r="I5" s="3">
        <f>H5*F5</f>
        <v>1200</v>
      </c>
      <c r="J5" s="3">
        <v>37</v>
      </c>
      <c r="K5" s="3">
        <v>636</v>
      </c>
      <c r="L5" s="3">
        <f t="shared" ref="L5:L6" si="1">K5+20</f>
        <v>656</v>
      </c>
      <c r="M5" s="10" t="s">
        <v>23</v>
      </c>
      <c r="N5" s="3">
        <f>K5*J5</f>
        <v>23532</v>
      </c>
      <c r="O5" s="3">
        <f t="shared" ref="O5" si="2">L5*J5</f>
        <v>24272</v>
      </c>
      <c r="P5" s="3">
        <f>0.49*J5</f>
        <v>18.13</v>
      </c>
    </row>
    <row r="6" spans="1:16" ht="43.5" customHeight="1" x14ac:dyDescent="0.15">
      <c r="A6" s="3">
        <v>4</v>
      </c>
      <c r="B6" s="4" t="s">
        <v>24</v>
      </c>
      <c r="C6" s="4" t="s">
        <v>25</v>
      </c>
      <c r="D6" s="23"/>
      <c r="E6" s="3">
        <f>F6*G6</f>
        <v>600</v>
      </c>
      <c r="F6" s="3">
        <v>40</v>
      </c>
      <c r="G6" s="3">
        <v>15</v>
      </c>
      <c r="H6" s="3">
        <v>15</v>
      </c>
      <c r="I6" s="3">
        <f>H6*F6</f>
        <v>600</v>
      </c>
      <c r="J6" s="3">
        <v>1</v>
      </c>
      <c r="K6" s="3">
        <v>318</v>
      </c>
      <c r="L6" s="3">
        <f t="shared" si="1"/>
        <v>338</v>
      </c>
      <c r="M6" s="11" t="s">
        <v>26</v>
      </c>
      <c r="N6" s="3">
        <f>K6*J6</f>
        <v>318</v>
      </c>
      <c r="O6" s="3">
        <f t="shared" ref="O6" si="3">L6*J6</f>
        <v>338</v>
      </c>
      <c r="P6" s="3">
        <f>0.32*J6</f>
        <v>0.32</v>
      </c>
    </row>
    <row r="7" spans="1:16" ht="39" customHeight="1" x14ac:dyDescent="0.15">
      <c r="A7" s="15" t="s">
        <v>14</v>
      </c>
      <c r="B7" s="16"/>
      <c r="C7" s="17"/>
      <c r="D7" s="5"/>
      <c r="E7" s="5">
        <f>SUM(E3:E6)</f>
        <v>90000</v>
      </c>
      <c r="F7" s="5"/>
      <c r="G7" s="5">
        <f>SUM(G3:G6)</f>
        <v>2250</v>
      </c>
      <c r="H7" s="5"/>
      <c r="I7" s="5"/>
      <c r="J7" s="5">
        <f>SUM(J3:J6)</f>
        <v>76</v>
      </c>
      <c r="K7" s="5"/>
      <c r="L7" s="5"/>
      <c r="M7" s="5"/>
      <c r="N7" s="13">
        <f>SUM(N3:N6)</f>
        <v>49995</v>
      </c>
      <c r="O7" s="13">
        <f>SUM(O3:O6)</f>
        <v>51515</v>
      </c>
      <c r="P7" s="5">
        <f>SUM(P3:P6)</f>
        <v>36.9</v>
      </c>
    </row>
    <row r="8" spans="1:16" ht="21" customHeigh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21" customHeight="1" x14ac:dyDescent="0.15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 t="s">
        <v>15</v>
      </c>
      <c r="C10" s="7"/>
      <c r="D10" s="8"/>
      <c r="E10" s="8"/>
      <c r="F10" s="8"/>
      <c r="G10" s="8"/>
      <c r="H10" s="8"/>
      <c r="I10" s="8"/>
      <c r="J10" s="8"/>
      <c r="K10" s="8"/>
      <c r="L10" s="8"/>
      <c r="M10" s="6"/>
      <c r="N10" s="6"/>
      <c r="O10" s="6"/>
      <c r="P10" s="6"/>
    </row>
    <row r="11" spans="1:16" ht="14.25" x14ac:dyDescent="0.15">
      <c r="A11" s="6"/>
      <c r="B11" s="6"/>
      <c r="C11" s="7"/>
      <c r="D11" s="8"/>
      <c r="E11" s="8"/>
      <c r="F11" s="8"/>
      <c r="G11" s="8"/>
      <c r="H11" s="8"/>
      <c r="I11" s="8"/>
      <c r="J11" s="8"/>
      <c r="K11" s="8"/>
      <c r="L11" s="8"/>
      <c r="M11" s="18" t="s">
        <v>16</v>
      </c>
      <c r="N11" s="19"/>
      <c r="O11" s="19"/>
      <c r="P11" s="19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20">
        <v>45915</v>
      </c>
      <c r="N12" s="20"/>
      <c r="O12" s="20"/>
      <c r="P12" s="20"/>
    </row>
    <row r="13" spans="1:16" x14ac:dyDescent="0.15">
      <c r="A13" s="9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</sheetData>
  <mergeCells count="5">
    <mergeCell ref="A1:P1"/>
    <mergeCell ref="A7:C7"/>
    <mergeCell ref="M11:P11"/>
    <mergeCell ref="M12:P12"/>
    <mergeCell ref="D3:D6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2025-09-15T02:09:52Z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