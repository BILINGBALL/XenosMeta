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87E62396-7440-4524-BA39-C4CAA85D377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P4" i="1"/>
  <c r="P3" i="1"/>
  <c r="J6" i="1"/>
  <c r="O4" i="1"/>
  <c r="N4" i="1"/>
  <c r="I4" i="1"/>
  <c r="G4" i="1"/>
  <c r="E4" i="1" s="1"/>
  <c r="O3" i="1"/>
  <c r="N3" i="1"/>
  <c r="I3" i="1"/>
  <c r="G3" i="1"/>
  <c r="E3" i="1" s="1"/>
  <c r="O5" i="1"/>
  <c r="N5" i="1"/>
  <c r="I5" i="1"/>
  <c r="G5" i="1"/>
  <c r="E5" i="1" s="1"/>
  <c r="P6" i="1" l="1"/>
  <c r="O6" i="1"/>
  <c r="E6" i="1"/>
  <c r="N6" i="1"/>
  <c r="G6" i="1"/>
</calcChain>
</file>

<file path=xl/sharedStrings.xml><?xml version="1.0" encoding="utf-8"?>
<sst xmlns="http://schemas.openxmlformats.org/spreadsheetml/2006/main" count="32" uniqueCount="25">
  <si>
    <t>包  装  明  细  表</t>
  </si>
  <si>
    <t>柜号</t>
  </si>
  <si>
    <t>产品名称</t>
  </si>
  <si>
    <t>型号及规格</t>
  </si>
  <si>
    <t>合同号</t>
  </si>
  <si>
    <t xml:space="preserve">件
</t>
  </si>
  <si>
    <t>件
/桶</t>
  </si>
  <si>
    <t>桶</t>
  </si>
  <si>
    <t>桶/托</t>
  </si>
  <si>
    <t>件
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</si>
  <si>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</si>
  <si>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</si>
  <si>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</si>
  <si>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</si>
  <si>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</si>
  <si>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</si>
  <si>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</si>
  <si>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螺纹尖钉</t>
  </si>
  <si>
    <t>合计</t>
  </si>
  <si>
    <t>唛头：</t>
  </si>
  <si>
    <t>苏州苏德兰铁路配件有限公司
有限公司</t>
  </si>
  <si>
    <t>ZSTL-XN2025020601-3</t>
    <phoneticPr fontId="6" type="noConversion"/>
  </si>
  <si>
    <t>15/16"×6-1/2"</t>
    <phoneticPr fontId="6" type="noConversion"/>
  </si>
  <si>
    <r>
      <t xml:space="preserve">1030*1030*630
</t>
    </r>
    <r>
      <rPr>
        <sz val="10"/>
        <color theme="1"/>
        <rFont val="宋体"/>
        <charset val="134"/>
        <scheme val="minor"/>
      </rPr>
      <t>0.67</t>
    </r>
    <phoneticPr fontId="6" type="noConversion"/>
  </si>
  <si>
    <r>
      <t xml:space="preserve">1030*1030*900
</t>
    </r>
    <r>
      <rPr>
        <sz val="10"/>
        <color theme="1"/>
        <rFont val="宋体"/>
        <charset val="134"/>
        <scheme val="minor"/>
      </rPr>
      <t>0.95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</si>
</sst>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.00_ "/>
    <numFmt numFmtId="179" formatCode="[$-F800]dddd\,\ mmmm\ dd\,\ yyyy"/>
  </numFmts>
  <fonts count="9" x14ac:knownFonts="1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179" fontId="5" fillId="0" borderId="0" xfId="0" applyNumberFormat="1" applyFont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8"/>
  <sheetViews>
    <sheetView tabSelected="1" zoomScale="115" zoomScaleNormal="115" workbookViewId="0">
      <selection activeCell="P6" sqref="P6"/>
    </sheetView>
  </sheetViews>
  <sheetFormatPr defaultColWidth="9" defaultRowHeight="13.5" x14ac:dyDescent="0.15"/>
  <cols>
    <col min="1" max="1" width="4.625" customWidth="1"/>
    <col min="2" max="2" width="8.25" customWidth="1"/>
    <col min="3" max="3" width="11.125" customWidth="1"/>
    <col min="4" max="4" width="9.625" customWidth="1"/>
    <col min="5" max="7" width="6.625" customWidth="1"/>
    <col min="8" max="8" width="7.875" customWidth="1"/>
    <col min="9" max="10" width="7.125" customWidth="1"/>
    <col min="11" max="11" width="8.125" customWidth="1"/>
    <col min="12" max="12" width="8.5" customWidth="1"/>
    <col min="13" max="13" width="10.75" customWidth="1"/>
    <col min="14" max="16" width="9.5" customWidth="1"/>
  </cols>
  <sheetData>
    <row r="1" spans="1:16" ht="65.25" customHeight="1" x14ac:dyDescent="0.1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16" ht="42" customHeight="1" x14ac:dyDescent="0.15">
      <c r="A2" s="1" t="s">
        <v>1</v>
      </c>
      <c r="B2" s="1" t="s">
        <v>2</v>
      </c>
      <c r="C2" s="1" t="s">
        <v>3</v>
      </c>
      <c r="D2" s="1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2" t="s">
        <v>9</v>
      </c>
      <c r="J2" s="1" t="s">
        <v>10</v>
      </c>
      <c r="K2" s="2" t="s">
        <v>11</v>
      </c>
      <c r="L2" s="2" t="s">
        <v>12</v>
      </c>
      <c r="M2" s="1" t="s">
        <v>13</v>
      </c>
      <c r="N2" s="2" t="s">
        <v>14</v>
      </c>
      <c r="O2" s="2" t="s">
        <v>15</v>
      </c>
      <c r="P2" s="2" t="s">
        <v>16</v>
      </c>
    </row>
    <row r="3" spans="1:16" ht="66.75" customHeight="1" x14ac:dyDescent="0.15">
      <c r="A3" s="3">
        <v>1</v>
      </c>
      <c r="B3" s="4" t="s">
        <v>17</v>
      </c>
      <c r="C3" s="19" t="s">
        <v>22</v>
      </c>
      <c r="D3" s="18" t="s">
        <v>21</v>
      </c>
      <c r="E3" s="3">
        <f>F3*G3</f>
        <v>31104</v>
      </c>
      <c r="F3" s="3">
        <v>36</v>
      </c>
      <c r="G3" s="3">
        <f>H3*J3</f>
        <v>864</v>
      </c>
      <c r="H3" s="3">
        <v>32</v>
      </c>
      <c r="I3" s="3">
        <f>H3*F3</f>
        <v>1152</v>
      </c>
      <c r="J3" s="3">
        <v>27</v>
      </c>
      <c r="K3" s="3">
        <v>703</v>
      </c>
      <c r="L3" s="3">
        <v>758</v>
      </c>
      <c r="M3" s="20" t="s">
        <v>23</v>
      </c>
      <c r="N3" s="3">
        <f>K3*J3</f>
        <v>18981</v>
      </c>
      <c r="O3" s="3">
        <f t="shared" ref="O3:O4" si="0">L3*J3</f>
        <v>20466</v>
      </c>
      <c r="P3" s="3">
        <f>0.67*J3</f>
        <v>18.09</v>
      </c>
    </row>
    <row r="4" spans="1:16" ht="66.75" customHeight="1" x14ac:dyDescent="0.15">
      <c r="A4" s="3">
        <v>2</v>
      </c>
      <c r="B4" s="4" t="s">
        <v>17</v>
      </c>
      <c r="C4" s="19" t="s">
        <v>22</v>
      </c>
      <c r="D4" s="18" t="s">
        <v>21</v>
      </c>
      <c r="E4" s="3">
        <f>F4*G4</f>
        <v>3456</v>
      </c>
      <c r="F4" s="3">
        <v>36</v>
      </c>
      <c r="G4" s="3">
        <f>H4*J4</f>
        <v>96</v>
      </c>
      <c r="H4" s="3">
        <v>48</v>
      </c>
      <c r="I4" s="3">
        <f>H4*F4</f>
        <v>1728</v>
      </c>
      <c r="J4" s="3">
        <v>2</v>
      </c>
      <c r="K4" s="3">
        <v>1054</v>
      </c>
      <c r="L4" s="3">
        <v>1116</v>
      </c>
      <c r="M4" s="20" t="s">
        <v>24</v>
      </c>
      <c r="N4" s="3">
        <f>K4*J4</f>
        <v>2108</v>
      </c>
      <c r="O4" s="3">
        <f t="shared" si="0"/>
        <v>2232</v>
      </c>
      <c r="P4" s="3">
        <f>0.95*J4</f>
        <v>1.9</v>
      </c>
    </row>
    <row r="5" spans="1:16" ht="66.75" customHeight="1" x14ac:dyDescent="0.15">
      <c r="A5" s="3">
        <v>3</v>
      </c>
      <c r="B5" s="4" t="s">
        <v>17</v>
      </c>
      <c r="C5" s="19" t="s">
        <v>22</v>
      </c>
      <c r="D5" s="18" t="s">
        <v>21</v>
      </c>
      <c r="E5" s="3">
        <f>F5*G5</f>
        <v>1440</v>
      </c>
      <c r="F5" s="3">
        <v>36</v>
      </c>
      <c r="G5" s="3">
        <f>H5*J5</f>
        <v>40</v>
      </c>
      <c r="H5" s="3">
        <v>40</v>
      </c>
      <c r="I5" s="3">
        <f>H5*F5</f>
        <v>1440</v>
      </c>
      <c r="J5" s="3">
        <v>1</v>
      </c>
      <c r="K5" s="3">
        <v>878</v>
      </c>
      <c r="L5" s="3">
        <v>932</v>
      </c>
      <c r="M5" s="20" t="s">
        <v>24</v>
      </c>
      <c r="N5" s="3">
        <f>K5*J5</f>
        <v>878</v>
      </c>
      <c r="O5" s="3">
        <f t="shared" ref="O5" si="1">L5*J5</f>
        <v>932</v>
      </c>
      <c r="P5" s="3">
        <f>0.95*J5</f>
        <v>0.95</v>
      </c>
    </row>
    <row r="6" spans="1:16" ht="39" customHeight="1" x14ac:dyDescent="0.15">
      <c r="A6" s="12" t="s">
        <v>18</v>
      </c>
      <c r="B6" s="13"/>
      <c r="C6" s="14"/>
      <c r="D6" s="5"/>
      <c r="E6" s="5">
        <f>SUM(E3:E5)</f>
        <v>36000</v>
      </c>
      <c r="F6" s="5"/>
      <c r="G6" s="5">
        <f>SUM(G3:G5)</f>
        <v>1000</v>
      </c>
      <c r="H6" s="5"/>
      <c r="I6" s="5"/>
      <c r="J6" s="5">
        <f>SUM(J3:J5)</f>
        <v>30</v>
      </c>
      <c r="K6" s="5"/>
      <c r="L6" s="5"/>
      <c r="M6" s="5"/>
      <c r="N6" s="5">
        <f>SUM(N3:N5)</f>
        <v>21967</v>
      </c>
      <c r="O6" s="5">
        <f>SUM(O3:O5)</f>
        <v>23630</v>
      </c>
      <c r="P6" s="10">
        <f>SUM(P3:P5)</f>
        <v>20.939999999999998</v>
      </c>
    </row>
    <row r="7" spans="1:16" ht="21" customHeight="1" x14ac:dyDescent="0.1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21" customHeight="1" x14ac:dyDescent="0.15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 ht="21" customHeight="1" x14ac:dyDescent="0.15">
      <c r="A9" s="6"/>
      <c r="B9" s="6" t="s">
        <v>19</v>
      </c>
      <c r="C9" s="7">
        <v>0.5</v>
      </c>
      <c r="D9" s="8"/>
      <c r="E9" s="8"/>
      <c r="F9" s="8"/>
      <c r="G9" s="8"/>
      <c r="H9" s="8"/>
      <c r="I9" s="8"/>
      <c r="J9" s="8"/>
      <c r="K9" s="8"/>
      <c r="L9" s="8"/>
      <c r="M9" s="6"/>
      <c r="N9" s="6"/>
      <c r="O9" s="6"/>
      <c r="P9" s="6"/>
    </row>
    <row r="10" spans="1:16" ht="14.25" x14ac:dyDescent="0.15">
      <c r="A10" s="6"/>
      <c r="B10" s="6"/>
      <c r="C10" s="7"/>
      <c r="D10" s="8"/>
      <c r="E10" s="8"/>
      <c r="F10" s="8"/>
      <c r="G10" s="8"/>
      <c r="H10" s="8"/>
      <c r="I10" s="8"/>
      <c r="J10" s="8"/>
      <c r="K10" s="8"/>
      <c r="L10" s="8"/>
      <c r="M10" s="15" t="s">
        <v>20</v>
      </c>
      <c r="N10" s="16"/>
      <c r="O10" s="16"/>
      <c r="P10" s="16"/>
    </row>
    <row r="11" spans="1:16" ht="14.25" x14ac:dyDescent="0.15">
      <c r="A11" s="6"/>
      <c r="B11" s="6"/>
      <c r="C11" s="7"/>
      <c r="D11" s="8"/>
      <c r="E11" s="8"/>
      <c r="F11" s="8"/>
      <c r="G11" s="8"/>
      <c r="H11" s="8"/>
      <c r="I11" s="8"/>
      <c r="J11" s="8"/>
      <c r="K11" s="8"/>
      <c r="L11" s="8"/>
      <c r="M11" s="17">
        <v>45754</v>
      </c>
      <c r="N11" s="17"/>
      <c r="O11" s="17"/>
      <c r="P11" s="17"/>
    </row>
    <row r="12" spans="1:16" x14ac:dyDescent="0.15">
      <c r="A12" s="9"/>
      <c r="B12" s="9"/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  <c r="N12" s="9"/>
      <c r="O12" s="9"/>
      <c r="P12" s="9"/>
    </row>
    <row r="13" spans="1:16" x14ac:dyDescent="0.1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x14ac:dyDescent="0.1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</row>
    <row r="15" spans="1:16" x14ac:dyDescent="0.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</row>
    <row r="16" spans="1:16" x14ac:dyDescent="0.1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</row>
    <row r="17" spans="1:16" x14ac:dyDescent="0.1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1:16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</row>
  </sheetData>
  <mergeCells count="4">
    <mergeCell ref="A1:P1"/>
    <mergeCell ref="A6:C6"/>
    <mergeCell ref="M10:P10"/>
    <mergeCell ref="M11:P11"/>
  </mergeCells>
  <phoneticPr fontId="6" type="noConversion"/>
  <pageMargins left="0.7" right="0.7" top="0.75" bottom="0.75" header="0.3" footer="0.3"/>
  <pageSetup paperSize="9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2025-04-07T08:27:52Z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93531C48D9254937AADF1DCCEC2D5BC1_12</vt:lpwstr>
  </property>
  <property fmtid="{D5CDD505-2E9C-101B-9397-08002B2CF9AE}" pid="3" name="KSOProductBuildVer">
    <vt:lpwstr>2052-12.1.0.18240</vt:lpwstr>
  </property>
</Properties>
</file>