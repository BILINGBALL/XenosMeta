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安阳\T型螺栓22-55 12-5\"/>
    </mc:Choice>
  </mc:AlternateContent>
  <xr:revisionPtr revIDLastSave="0" documentId="13_ncr:1_{C99CDE89-1F17-48D8-8F41-76102914D9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P10" i="1"/>
  <c r="L12" i="1"/>
  <c r="O12" i="1" s="1"/>
  <c r="L11" i="1"/>
  <c r="O11" i="1" s="1"/>
  <c r="L10" i="1"/>
  <c r="L9" i="1"/>
  <c r="O9" i="1" s="1"/>
  <c r="L7" i="1"/>
  <c r="O7" i="1"/>
  <c r="L6" i="1"/>
  <c r="O6" i="1" s="1"/>
  <c r="L4" i="1"/>
  <c r="O4" i="1" s="1"/>
  <c r="L3" i="1"/>
  <c r="N10" i="1"/>
  <c r="O10" i="1"/>
  <c r="I10" i="1"/>
  <c r="G10" i="1"/>
  <c r="E10" i="1"/>
  <c r="P9" i="1"/>
  <c r="N9" i="1"/>
  <c r="I9" i="1"/>
  <c r="G9" i="1"/>
  <c r="E9" i="1"/>
  <c r="P11" i="1"/>
  <c r="N11" i="1"/>
  <c r="I11" i="1"/>
  <c r="G11" i="1"/>
  <c r="E11" i="1" s="1"/>
  <c r="P7" i="1"/>
  <c r="N7" i="1"/>
  <c r="G7" i="1"/>
  <c r="P4" i="1"/>
  <c r="N4" i="1"/>
  <c r="G4" i="1"/>
  <c r="N12" i="1"/>
  <c r="I12" i="1"/>
  <c r="G12" i="1"/>
  <c r="E12" i="1" s="1"/>
  <c r="P6" i="1"/>
  <c r="N6" i="1"/>
  <c r="I6" i="1"/>
  <c r="G6" i="1"/>
  <c r="E6" i="1" s="1"/>
  <c r="P3" i="1"/>
  <c r="J13" i="1" l="1"/>
  <c r="O3" i="1"/>
  <c r="N3" i="1"/>
  <c r="I3" i="1"/>
  <c r="G3" i="1"/>
  <c r="E3" i="1" s="1"/>
  <c r="P13" i="1" l="1"/>
  <c r="G13" i="1"/>
  <c r="N13" i="1"/>
  <c r="O13" i="1"/>
  <c r="E13" i="1"/>
</calcChain>
</file>

<file path=xl/sharedStrings.xml><?xml version="1.0" encoding="utf-8"?>
<sst xmlns="http://schemas.openxmlformats.org/spreadsheetml/2006/main" count="37" uniqueCount="31">
  <si>
    <t>柜号</t>
  </si>
  <si>
    <t>产品名称</t>
  </si>
  <si>
    <t>型号及规格</t>
  </si>
  <si>
    <t>合同号</t>
  </si>
  <si>
    <t xml:space="preserve">件
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</si>
  <si>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</si>
  <si>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</si>
  <si>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</si>
  <si>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</si>
  <si>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</si>
  <si>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</si>
  <si>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</si>
  <si>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</si>
  <si>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</si>
  <si>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</si>
  <si>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苏州苏德兰铁路配件有限公司
有限公司</t>
  </si>
  <si>
    <t>件
/袋</t>
    <phoneticPr fontId="6" type="noConversion"/>
  </si>
  <si>
    <t>袋/托</t>
    <phoneticPr fontId="6" type="noConversion"/>
  </si>
  <si>
    <t>袋</t>
    <phoneticPr fontId="6" type="noConversion"/>
  </si>
  <si>
    <t>ZSTL-CH2025120401</t>
    <phoneticPr fontId="6" type="noConversion"/>
  </si>
  <si>
    <t>T型螺栓</t>
    <phoneticPr fontId="6" type="noConversion"/>
  </si>
  <si>
    <t>预估-包  装  明  细  表</t>
    <phoneticPr fontId="6" type="noConversion"/>
  </si>
  <si>
    <r>
      <t xml:space="preserve">1200*800*600
</t>
    </r>
    <r>
      <rPr>
        <sz val="10"/>
        <color theme="1"/>
        <rFont val="宋体"/>
        <family val="3"/>
        <charset val="134"/>
        <scheme val="minor"/>
      </rPr>
      <t>0.58</t>
    </r>
    <phoneticPr fontId="6" type="noConversion"/>
  </si>
  <si>
    <t>M22*55</t>
    <phoneticPr fontId="6" type="noConversion"/>
  </si>
  <si>
    <t>螺母</t>
  </si>
  <si>
    <t>M22</t>
    <phoneticPr fontId="6" type="noConversion"/>
  </si>
  <si>
    <t>ULS6
垫片</t>
    <phoneticPr fontId="6" type="noConversion"/>
  </si>
  <si>
    <t>22</t>
    <phoneticPr fontId="6" type="noConversion"/>
  </si>
  <si>
    <t>1200*800*600
0.58</t>
    <phoneticPr fontId="6" type="noConversion"/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</si>
  <si>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0.49</t>
    </r>
    <phoneticPr fontId="6" type="noConversion"/>
  </si>
  <si>
    <r>
      <t xml:space="preserve">1100*800*350
</t>
    </r>
    <r>
      <rPr>
        <sz val="10"/>
        <color theme="1"/>
        <rFont val="宋体"/>
        <family val="3"/>
        <charset val="134"/>
        <scheme val="minor"/>
      </rPr>
      <t>0.31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</si>
</sst>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58" fontId="2" fillId="0" borderId="2" xfId="0" quotePrefix="1" applyNumberFormat="1" applyFont="1" applyBorder="1" applyAlignment="1">
      <alignment horizontal="center" vertical="center" wrapText="1"/>
    </xf>
    <xf numFmtId="58" fontId="2" fillId="0" borderId="6" xfId="0" quotePrefix="1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58" fontId="2" fillId="0" borderId="7" xfId="0" quotePrefix="1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5"/>
  <sheetViews>
    <sheetView tabSelected="1" topLeftCell="A7" zoomScale="115" zoomScaleNormal="115" workbookViewId="0">
      <selection activeCell="P13" sqref="P13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23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42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16</v>
      </c>
      <c r="G2" s="1" t="s">
        <v>18</v>
      </c>
      <c r="H2" s="1" t="s">
        <v>17</v>
      </c>
      <c r="I2" s="2" t="s">
        <v>5</v>
      </c>
      <c r="J2" s="1" t="s">
        <v>6</v>
      </c>
      <c r="K2" s="2" t="s">
        <v>7</v>
      </c>
      <c r="L2" s="2" t="s">
        <v>8</v>
      </c>
      <c r="M2" s="1" t="s">
        <v>9</v>
      </c>
      <c r="N2" s="2" t="s">
        <v>10</v>
      </c>
      <c r="O2" s="2" t="s">
        <v>11</v>
      </c>
      <c r="P2" s="2" t="s">
        <v>12</v>
      </c>
    </row>
    <row r="3" spans="1:16" ht="29.25" customHeight="1" x14ac:dyDescent="0.15">
      <c r="A3" s="4">
        <v>1</v>
      </c>
      <c r="B3" s="13" t="s">
        <v>20</v>
      </c>
      <c r="C3" s="13" t="s">
        <v>23</v>
      </c>
      <c r="D3" s="30" t="s">
        <v>19</v>
      </c>
      <c r="E3" s="3">
        <f>F3*G3</f>
        <v>31500</v>
      </c>
      <c r="F3" s="3">
        <v>70</v>
      </c>
      <c r="G3" s="3">
        <f>H3*J3</f>
        <v>450</v>
      </c>
      <c r="H3" s="3">
        <v>45</v>
      </c>
      <c r="I3" s="3">
        <f>H3*F3</f>
        <v>3150</v>
      </c>
      <c r="J3" s="3">
        <v>10</v>
      </c>
      <c r="K3" s="3">
        <v>1008</v>
      </c>
      <c r="L3" s="3">
        <f>K3+40</f>
        <v>1048</v>
      </c>
      <c r="M3" s="10" t="s">
        <v>22</v>
      </c>
      <c r="N3" s="11">
        <f>K3*J3</f>
        <v>10080</v>
      </c>
      <c r="O3" s="11">
        <f t="shared" ref="O3" si="0">L3*J3</f>
        <v>10480</v>
      </c>
      <c r="P3" s="3">
        <f>0.58*J3</f>
        <v>5.8</v>
      </c>
    </row>
    <row r="4" spans="1:16" ht="29.25" customHeight="1" x14ac:dyDescent="0.15">
      <c r="A4" s="4">
        <v>2</v>
      </c>
      <c r="B4" s="31"/>
      <c r="C4" s="31"/>
      <c r="D4" s="30"/>
      <c r="E4" s="19">
        <v>2500</v>
      </c>
      <c r="F4" s="3">
        <v>70</v>
      </c>
      <c r="G4" s="3">
        <f>H4*J4</f>
        <v>35</v>
      </c>
      <c r="H4" s="3">
        <v>35</v>
      </c>
      <c r="I4" s="3">
        <v>2450</v>
      </c>
      <c r="J4" s="19">
        <v>1</v>
      </c>
      <c r="K4" s="19">
        <v>800</v>
      </c>
      <c r="L4" s="19">
        <f>K4+40</f>
        <v>840</v>
      </c>
      <c r="M4" s="21" t="s">
        <v>28</v>
      </c>
      <c r="N4" s="17">
        <f>K4</f>
        <v>800</v>
      </c>
      <c r="O4" s="17">
        <f>L4</f>
        <v>840</v>
      </c>
      <c r="P4" s="19">
        <f>0.58</f>
        <v>0.57999999999999996</v>
      </c>
    </row>
    <row r="5" spans="1:16" ht="29.25" customHeight="1" x14ac:dyDescent="0.15">
      <c r="A5" s="4">
        <v>3</v>
      </c>
      <c r="B5" s="14"/>
      <c r="C5" s="14"/>
      <c r="D5" s="30"/>
      <c r="E5" s="20"/>
      <c r="F5" s="3">
        <v>50</v>
      </c>
      <c r="G5" s="3">
        <v>1</v>
      </c>
      <c r="H5" s="3">
        <v>1</v>
      </c>
      <c r="I5" s="3">
        <v>50</v>
      </c>
      <c r="J5" s="20"/>
      <c r="K5" s="20"/>
      <c r="L5" s="20"/>
      <c r="M5" s="22"/>
      <c r="N5" s="18"/>
      <c r="O5" s="18"/>
      <c r="P5" s="20"/>
    </row>
    <row r="6" spans="1:16" ht="29.25" customHeight="1" x14ac:dyDescent="0.15">
      <c r="A6" s="4">
        <v>4</v>
      </c>
      <c r="B6" s="13" t="s">
        <v>24</v>
      </c>
      <c r="C6" s="15" t="s">
        <v>25</v>
      </c>
      <c r="D6" s="30"/>
      <c r="E6" s="3">
        <f t="shared" ref="E6:E12" si="1">F6*G6</f>
        <v>30000</v>
      </c>
      <c r="F6" s="3">
        <v>120</v>
      </c>
      <c r="G6" s="3">
        <f t="shared" ref="G6:G12" si="2">H6*J6</f>
        <v>250</v>
      </c>
      <c r="H6" s="3">
        <v>50</v>
      </c>
      <c r="I6" s="3">
        <f t="shared" ref="I6:I12" si="3">H6*F6</f>
        <v>6000</v>
      </c>
      <c r="J6" s="3">
        <v>5</v>
      </c>
      <c r="K6" s="3">
        <v>990</v>
      </c>
      <c r="L6" s="3">
        <f>K6+40</f>
        <v>1030</v>
      </c>
      <c r="M6" s="10" t="s">
        <v>22</v>
      </c>
      <c r="N6" s="11">
        <f t="shared" ref="N6:N12" si="4">K6*J6</f>
        <v>4950</v>
      </c>
      <c r="O6" s="11">
        <f t="shared" ref="O6:O12" si="5">L6*J6</f>
        <v>5150</v>
      </c>
      <c r="P6" s="3">
        <f t="shared" ref="P6:P12" si="6">0.58*J6</f>
        <v>2.9</v>
      </c>
    </row>
    <row r="7" spans="1:16" ht="29.25" customHeight="1" x14ac:dyDescent="0.15">
      <c r="A7" s="4">
        <v>5</v>
      </c>
      <c r="B7" s="31"/>
      <c r="C7" s="32"/>
      <c r="D7" s="30"/>
      <c r="E7" s="19">
        <v>4000</v>
      </c>
      <c r="F7" s="3">
        <v>120</v>
      </c>
      <c r="G7" s="3">
        <f>H7*J7</f>
        <v>33</v>
      </c>
      <c r="H7" s="3">
        <v>33</v>
      </c>
      <c r="I7" s="3">
        <v>3960</v>
      </c>
      <c r="J7" s="19">
        <v>1</v>
      </c>
      <c r="K7" s="19">
        <v>660</v>
      </c>
      <c r="L7" s="19">
        <f>K7+40</f>
        <v>700</v>
      </c>
      <c r="M7" s="21" t="s">
        <v>28</v>
      </c>
      <c r="N7" s="17">
        <f>K7</f>
        <v>660</v>
      </c>
      <c r="O7" s="17">
        <f>L7</f>
        <v>700</v>
      </c>
      <c r="P7" s="19">
        <f>0.58</f>
        <v>0.57999999999999996</v>
      </c>
    </row>
    <row r="8" spans="1:16" ht="29.25" customHeight="1" x14ac:dyDescent="0.15">
      <c r="A8" s="4">
        <v>6</v>
      </c>
      <c r="B8" s="14"/>
      <c r="C8" s="16"/>
      <c r="D8" s="30"/>
      <c r="E8" s="20"/>
      <c r="F8" s="3">
        <v>40</v>
      </c>
      <c r="G8" s="3">
        <v>1</v>
      </c>
      <c r="H8" s="3">
        <v>1</v>
      </c>
      <c r="I8" s="3">
        <v>40</v>
      </c>
      <c r="J8" s="20"/>
      <c r="K8" s="20"/>
      <c r="L8" s="20"/>
      <c r="M8" s="22"/>
      <c r="N8" s="18"/>
      <c r="O8" s="18"/>
      <c r="P8" s="20"/>
    </row>
    <row r="9" spans="1:16" ht="29.25" customHeight="1" x14ac:dyDescent="0.15">
      <c r="A9" s="4">
        <v>7</v>
      </c>
      <c r="B9" s="13" t="s">
        <v>26</v>
      </c>
      <c r="C9" s="15" t="s">
        <v>27</v>
      </c>
      <c r="D9" s="30"/>
      <c r="E9" s="3">
        <f t="shared" ref="E9:E10" si="7">F9*G9</f>
        <v>20000</v>
      </c>
      <c r="F9" s="3">
        <v>400</v>
      </c>
      <c r="G9" s="3">
        <f t="shared" ref="G9:G10" si="8">H9*J9</f>
        <v>50</v>
      </c>
      <c r="H9" s="3">
        <v>50</v>
      </c>
      <c r="I9" s="3">
        <f t="shared" ref="I9:I10" si="9">H9*F9</f>
        <v>20000</v>
      </c>
      <c r="J9" s="3">
        <v>1</v>
      </c>
      <c r="K9" s="3">
        <v>1000</v>
      </c>
      <c r="L9" s="3">
        <f>K9+40</f>
        <v>1040</v>
      </c>
      <c r="M9" s="10" t="s">
        <v>22</v>
      </c>
      <c r="N9" s="11">
        <f t="shared" ref="N9:N10" si="10">K9*J9</f>
        <v>1000</v>
      </c>
      <c r="O9" s="11">
        <f t="shared" ref="O9:O10" si="11">L9*J9</f>
        <v>1040</v>
      </c>
      <c r="P9" s="3">
        <f t="shared" ref="P9:P10" si="12">0.58*J9</f>
        <v>0.57999999999999996</v>
      </c>
    </row>
    <row r="10" spans="1:16" ht="29.25" customHeight="1" x14ac:dyDescent="0.15">
      <c r="A10" s="4">
        <v>8</v>
      </c>
      <c r="B10" s="14"/>
      <c r="C10" s="16"/>
      <c r="D10" s="30"/>
      <c r="E10" s="3">
        <f t="shared" si="7"/>
        <v>14000</v>
      </c>
      <c r="F10" s="3">
        <v>400</v>
      </c>
      <c r="G10" s="3">
        <f t="shared" si="8"/>
        <v>35</v>
      </c>
      <c r="H10" s="3">
        <v>35</v>
      </c>
      <c r="I10" s="3">
        <f t="shared" si="9"/>
        <v>14000</v>
      </c>
      <c r="J10" s="3">
        <v>1</v>
      </c>
      <c r="K10" s="3">
        <v>700</v>
      </c>
      <c r="L10" s="3">
        <f>K10+40</f>
        <v>740</v>
      </c>
      <c r="M10" s="10" t="s">
        <v>29</v>
      </c>
      <c r="N10" s="11">
        <f t="shared" si="10"/>
        <v>700</v>
      </c>
      <c r="O10" s="11">
        <f t="shared" si="11"/>
        <v>740</v>
      </c>
      <c r="P10" s="3">
        <f>0.49*J10</f>
        <v>0.49</v>
      </c>
    </row>
    <row r="11" spans="1:16" ht="29.25" customHeight="1" x14ac:dyDescent="0.15">
      <c r="A11" s="4">
        <v>9</v>
      </c>
      <c r="B11" s="13" t="s">
        <v>26</v>
      </c>
      <c r="C11" s="15" t="s">
        <v>27</v>
      </c>
      <c r="D11" s="30"/>
      <c r="E11" s="3">
        <f t="shared" ref="E11" si="13">F11*G11</f>
        <v>60000</v>
      </c>
      <c r="F11" s="3">
        <v>400</v>
      </c>
      <c r="G11" s="3">
        <f t="shared" ref="G11" si="14">H11*J11</f>
        <v>150</v>
      </c>
      <c r="H11" s="3">
        <v>50</v>
      </c>
      <c r="I11" s="3">
        <f t="shared" ref="I11" si="15">H11*F11</f>
        <v>20000</v>
      </c>
      <c r="J11" s="3">
        <v>3</v>
      </c>
      <c r="K11" s="3">
        <v>1000</v>
      </c>
      <c r="L11" s="3">
        <f>K11+40</f>
        <v>1040</v>
      </c>
      <c r="M11" s="10" t="s">
        <v>22</v>
      </c>
      <c r="N11" s="11">
        <f t="shared" ref="N11" si="16">K11*J11</f>
        <v>3000</v>
      </c>
      <c r="O11" s="11">
        <f t="shared" ref="O11" si="17">L11*J11</f>
        <v>3120</v>
      </c>
      <c r="P11" s="3">
        <f t="shared" ref="P11" si="18">0.58*J11</f>
        <v>1.7399999999999998</v>
      </c>
    </row>
    <row r="12" spans="1:16" ht="29.25" customHeight="1" x14ac:dyDescent="0.15">
      <c r="A12" s="4">
        <v>10</v>
      </c>
      <c r="B12" s="14"/>
      <c r="C12" s="16"/>
      <c r="D12" s="30"/>
      <c r="E12" s="3">
        <f t="shared" si="1"/>
        <v>6000</v>
      </c>
      <c r="F12" s="3">
        <v>400</v>
      </c>
      <c r="G12" s="3">
        <f t="shared" si="2"/>
        <v>15</v>
      </c>
      <c r="H12" s="3">
        <v>15</v>
      </c>
      <c r="I12" s="3">
        <f t="shared" si="3"/>
        <v>6000</v>
      </c>
      <c r="J12" s="3">
        <v>1</v>
      </c>
      <c r="K12" s="3">
        <v>300</v>
      </c>
      <c r="L12" s="3">
        <f>K12+40</f>
        <v>340</v>
      </c>
      <c r="M12" s="10" t="s">
        <v>30</v>
      </c>
      <c r="N12" s="11">
        <f t="shared" si="4"/>
        <v>300</v>
      </c>
      <c r="O12" s="11">
        <f t="shared" si="5"/>
        <v>340</v>
      </c>
      <c r="P12" s="3">
        <f>0.31*J12</f>
        <v>0.31</v>
      </c>
    </row>
    <row r="13" spans="1:16" ht="39" customHeight="1" x14ac:dyDescent="0.15">
      <c r="A13" s="24" t="s">
        <v>13</v>
      </c>
      <c r="B13" s="25"/>
      <c r="C13" s="26"/>
      <c r="D13" s="5"/>
      <c r="E13" s="5">
        <f>SUM(E3:E12)</f>
        <v>168000</v>
      </c>
      <c r="F13" s="5"/>
      <c r="G13" s="5">
        <f>SUM(G3:G12)</f>
        <v>1020</v>
      </c>
      <c r="H13" s="5"/>
      <c r="I13" s="5"/>
      <c r="J13" s="5">
        <f>SUM(J3:J12)</f>
        <v>23</v>
      </c>
      <c r="K13" s="5"/>
      <c r="L13" s="5"/>
      <c r="M13" s="5"/>
      <c r="N13" s="12">
        <f>SUM(N3:N12)</f>
        <v>21490</v>
      </c>
      <c r="O13" s="12">
        <f>SUM(O3:O12)</f>
        <v>22410</v>
      </c>
      <c r="P13" s="5">
        <f>SUM(P3:P12)</f>
        <v>12.98</v>
      </c>
    </row>
    <row r="14" spans="1:16" ht="21" customHeight="1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21" customHeight="1" x14ac:dyDescent="0.15">
      <c r="A15" s="6"/>
      <c r="B15" s="6"/>
      <c r="C15" s="7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21" customHeight="1" x14ac:dyDescent="0.15">
      <c r="A16" s="6"/>
      <c r="B16" s="6" t="s">
        <v>14</v>
      </c>
      <c r="C16" s="7"/>
      <c r="D16" s="8"/>
      <c r="E16" s="8"/>
      <c r="F16" s="8"/>
      <c r="G16" s="8"/>
      <c r="H16" s="8"/>
      <c r="I16" s="8"/>
      <c r="J16" s="8"/>
      <c r="K16" s="8"/>
      <c r="L16" s="8"/>
      <c r="M16" s="6"/>
      <c r="N16" s="6"/>
      <c r="O16" s="6"/>
      <c r="P16" s="6"/>
    </row>
    <row r="17" spans="1:16" ht="14.25" x14ac:dyDescent="0.15">
      <c r="A17" s="6"/>
      <c r="B17" s="6"/>
      <c r="C17" s="7"/>
      <c r="D17" s="8"/>
      <c r="E17" s="8"/>
      <c r="F17" s="8"/>
      <c r="G17" s="8"/>
      <c r="H17" s="8"/>
      <c r="I17" s="8"/>
      <c r="J17" s="8"/>
      <c r="K17" s="8"/>
      <c r="L17" s="8"/>
      <c r="M17" s="27" t="s">
        <v>15</v>
      </c>
      <c r="N17" s="28"/>
      <c r="O17" s="28"/>
      <c r="P17" s="28"/>
    </row>
    <row r="18" spans="1:16" ht="14.25" x14ac:dyDescent="0.15">
      <c r="A18" s="6"/>
      <c r="B18" s="6"/>
      <c r="C18" s="7"/>
      <c r="D18" s="8"/>
      <c r="E18" s="8"/>
      <c r="F18" s="8"/>
      <c r="G18" s="8"/>
      <c r="H18" s="8"/>
      <c r="I18" s="8"/>
      <c r="J18" s="8"/>
      <c r="K18" s="8"/>
      <c r="L18" s="8"/>
      <c r="M18" s="29">
        <v>46038</v>
      </c>
      <c r="N18" s="29"/>
      <c r="O18" s="29"/>
      <c r="P18" s="29"/>
    </row>
    <row r="19" spans="1:16" x14ac:dyDescent="0.15">
      <c r="A19" s="9"/>
      <c r="B19" s="9"/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  <c r="N19" s="9"/>
      <c r="O19" s="9"/>
      <c r="P19" s="9"/>
    </row>
    <row r="20" spans="1:16" x14ac:dyDescent="0.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x14ac:dyDescent="0.1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x14ac:dyDescent="0.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x14ac:dyDescent="0.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x14ac:dyDescent="0.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</sheetData>
  <mergeCells count="29">
    <mergeCell ref="A1:P1"/>
    <mergeCell ref="A13:C13"/>
    <mergeCell ref="M17:P17"/>
    <mergeCell ref="M18:P18"/>
    <mergeCell ref="D3:D12"/>
    <mergeCell ref="B3:B5"/>
    <mergeCell ref="C3:C5"/>
    <mergeCell ref="B6:B8"/>
    <mergeCell ref="C6:C8"/>
    <mergeCell ref="B11:B12"/>
    <mergeCell ref="C11:C12"/>
    <mergeCell ref="J4:J5"/>
    <mergeCell ref="E4:E5"/>
    <mergeCell ref="K4:K5"/>
    <mergeCell ref="L4:L5"/>
    <mergeCell ref="M4:M5"/>
    <mergeCell ref="B9:B10"/>
    <mergeCell ref="C9:C10"/>
    <mergeCell ref="N4:N5"/>
    <mergeCell ref="O4:O5"/>
    <mergeCell ref="P4:P5"/>
    <mergeCell ref="E7:E8"/>
    <mergeCell ref="J7:J8"/>
    <mergeCell ref="K7:K8"/>
    <mergeCell ref="L7:L8"/>
    <mergeCell ref="M7:M8"/>
    <mergeCell ref="N7:N8"/>
    <mergeCell ref="O7:O8"/>
    <mergeCell ref="P7:P8"/>
  </mergeCells>
  <phoneticPr fontId="6" type="noConversion"/>
  <pageMargins left="0.7" right="0.7" top="0.75" bottom="0.75" header="0.3" footer="0.3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2026-01-26T01:19:22Z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