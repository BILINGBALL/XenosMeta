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熙沣\道钉 24-145 90000件 8-7\"/>
    </mc:Choice>
  </mc:AlternateContent>
  <xr:revisionPtr revIDLastSave="0" documentId="13_ncr:1_{D5E26B6F-96F1-41E2-8FBF-6C3E16180E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H4" i="1"/>
  <c r="H3" i="1"/>
  <c r="K5" i="1"/>
  <c r="H5" i="1"/>
  <c r="O4" i="1"/>
  <c r="M4" i="1"/>
  <c r="P4" i="1" s="1"/>
  <c r="J4" i="1"/>
  <c r="F4" i="1"/>
  <c r="Q5" i="1"/>
  <c r="O3" i="1"/>
  <c r="O5" i="1" s="1"/>
  <c r="M3" i="1"/>
  <c r="P3" i="1" s="1"/>
  <c r="J3" i="1"/>
  <c r="F3" i="1"/>
  <c r="F5" i="1" l="1"/>
  <c r="P5" i="1"/>
</calcChain>
</file>

<file path=xl/sharedStrings.xml><?xml version="1.0" encoding="utf-8"?>
<sst xmlns="http://schemas.openxmlformats.org/spreadsheetml/2006/main" count="28" uniqueCount="26">
  <si>
    <t>包  装  明  细  表</t>
  </si>
  <si>
    <t>柜号</t>
  </si>
  <si>
    <t>产品名称</t>
  </si>
  <si>
    <t>型号及规格</t>
  </si>
  <si>
    <t>合同号</t>
  </si>
  <si>
    <t>托号</t>
  </si>
  <si>
    <t>袋</t>
  </si>
  <si>
    <t>袋/托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</si>
  <si>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</si>
  <si>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</si>
  <si>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</si>
  <si>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</si>
  <si>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</si>
  <si>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</si>
  <si>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</si>
  <si>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螺纹
道钉</t>
  </si>
  <si>
    <t>合计</t>
  </si>
  <si>
    <t>唛头：</t>
  </si>
  <si>
    <t>苏州苏德兰铁路配套有限公司</t>
  </si>
  <si>
    <t>件/托</t>
    <phoneticPr fontId="7" type="noConversion"/>
  </si>
  <si>
    <t>件/袋</t>
    <phoneticPr fontId="7" type="noConversion"/>
  </si>
  <si>
    <t>件</t>
    <phoneticPr fontId="7" type="noConversion"/>
  </si>
  <si>
    <t>XIFENG20250825-68</t>
    <phoneticPr fontId="7" type="noConversion"/>
  </si>
  <si>
    <t>24*145</t>
    <phoneticPr fontId="7" type="noConversion"/>
  </si>
  <si>
    <t>950*950*800
0.72</t>
    <phoneticPr fontId="7" type="noConversion"/>
  </si>
  <si>
    <t>950*950*400
0.36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</si>
</sst>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[$-F800]dddd\,\ mmmm\ dd\,\ yyyy"/>
    <numFmt numFmtId="179" formatCode="0.00_);[Red]\(0.00\)"/>
    <numFmt numFmtId="180" formatCode="0_);[Red]\(0\)"/>
  </numFmts>
  <fonts count="10" x14ac:knownFonts="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178" fontId="0" fillId="0" borderId="0">
      <alignment vertical="center"/>
    </xf>
  </cellStyleXfs>
  <cellXfs count="22">
    <xf numFmtId="178" fontId="0" fillId="0" borderId="0" xfId="0">
      <alignment vertical="center"/>
    </xf>
    <xf numFmtId="179" fontId="0" fillId="0" borderId="0" xfId="0" applyNumberFormat="1">
      <alignment vertical="center"/>
    </xf>
    <xf numFmtId="178" fontId="2" fillId="0" borderId="2" xfId="0" applyFont="1" applyBorder="1" applyAlignment="1">
      <alignment horizontal="center" vertical="center"/>
    </xf>
    <xf numFmtId="180" fontId="2" fillId="0" borderId="3" xfId="0" applyNumberFormat="1" applyFont="1" applyBorder="1" applyAlignment="1">
      <alignment horizontal="center" vertical="center"/>
    </xf>
    <xf numFmtId="179" fontId="3" fillId="0" borderId="3" xfId="0" applyNumberFormat="1" applyFont="1" applyBorder="1" applyAlignment="1">
      <alignment horizontal="center" vertical="center" wrapText="1"/>
    </xf>
    <xf numFmtId="179" fontId="2" fillId="0" borderId="2" xfId="0" applyNumberFormat="1" applyFont="1" applyBorder="1" applyAlignment="1">
      <alignment horizontal="center" vertical="center"/>
    </xf>
    <xf numFmtId="180" fontId="2" fillId="0" borderId="2" xfId="0" applyNumberFormat="1" applyFont="1" applyBorder="1" applyAlignment="1">
      <alignment horizontal="center" vertical="center"/>
    </xf>
    <xf numFmtId="178" fontId="2" fillId="0" borderId="0" xfId="0" applyFont="1" applyAlignment="1">
      <alignment horizontal="center" vertical="center"/>
    </xf>
    <xf numFmtId="178" fontId="4" fillId="0" borderId="0" xfId="0" applyFont="1">
      <alignment vertical="center"/>
    </xf>
    <xf numFmtId="178" fontId="5" fillId="0" borderId="0" xfId="0" applyFont="1" applyAlignment="1">
      <alignment horizontal="center" vertical="center"/>
    </xf>
    <xf numFmtId="178" fontId="0" fillId="0" borderId="0" xfId="0" applyAlignment="1">
      <alignment horizontal="center" vertical="center"/>
    </xf>
    <xf numFmtId="178" fontId="2" fillId="0" borderId="2" xfId="0" applyFont="1" applyBorder="1" applyAlignment="1">
      <alignment horizontal="center" vertical="center" wrapText="1"/>
    </xf>
    <xf numFmtId="178" fontId="1" fillId="0" borderId="1" xfId="0" applyFont="1" applyBorder="1" applyAlignment="1">
      <alignment horizontal="center" vertical="center"/>
    </xf>
    <xf numFmtId="179" fontId="2" fillId="0" borderId="5" xfId="0" applyNumberFormat="1" applyFont="1" applyBorder="1" applyAlignment="1">
      <alignment horizontal="center" vertical="center"/>
    </xf>
    <xf numFmtId="179" fontId="2" fillId="0" borderId="6" xfId="0" applyNumberFormat="1" applyFont="1" applyBorder="1" applyAlignment="1">
      <alignment horizontal="center" vertical="center"/>
    </xf>
    <xf numFmtId="179" fontId="2" fillId="0" borderId="7" xfId="0" applyNumberFormat="1" applyFont="1" applyBorder="1" applyAlignment="1">
      <alignment horizontal="center" vertical="center"/>
    </xf>
    <xf numFmtId="178" fontId="6" fillId="0" borderId="0" xfId="0" applyFont="1" applyAlignment="1">
      <alignment horizontal="center" vertical="center"/>
    </xf>
    <xf numFmtId="179" fontId="2" fillId="0" borderId="4" xfId="0" applyNumberFormat="1" applyFont="1" applyBorder="1" applyAlignment="1">
      <alignment horizontal="center" vertical="center" wrapText="1"/>
    </xf>
    <xf numFmtId="178" fontId="8" fillId="0" borderId="2" xfId="0" applyFont="1" applyBorder="1" applyAlignment="1">
      <alignment horizontal="center" vertical="center"/>
    </xf>
    <xf numFmtId="179" fontId="8" fillId="0" borderId="3" xfId="0" applyNumberFormat="1" applyFont="1" applyBorder="1" applyAlignment="1">
      <alignment horizontal="center" vertical="center" wrapText="1"/>
    </xf>
    <xf numFmtId="179" fontId="8" fillId="0" borderId="3" xfId="0" applyNumberFormat="1" applyFont="1" applyBorder="1" applyAlignment="1">
      <alignment horizontal="center" vertical="center" wrapText="1"/>
    </xf>
    <xf numFmtId="179" fontId="9" fillId="0" borderId="2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topLeftCell="A2" zoomScale="115" zoomScaleNormal="115" workbookViewId="0">
      <selection activeCell="P7" sqref="P7"/>
    </sheetView>
  </sheetViews>
  <sheetFormatPr defaultColWidth="9" defaultRowHeight="13.5" x14ac:dyDescent="0.15"/>
  <cols>
    <col min="1" max="1" width="4.625" customWidth="1"/>
    <col min="2" max="2" width="8.25" customWidth="1"/>
    <col min="3" max="3" width="9.125" customWidth="1"/>
    <col min="4" max="4" width="9.625" customWidth="1"/>
    <col min="5" max="5" width="6.375" customWidth="1"/>
    <col min="6" max="6" width="8.25" customWidth="1"/>
    <col min="7" max="7" width="5.75" customWidth="1"/>
    <col min="8" max="8" width="5.625" customWidth="1"/>
    <col min="9" max="9" width="7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  <col min="15" max="16" width="9.375" customWidth="1"/>
    <col min="17" max="17" width="9.125" customWidth="1"/>
  </cols>
  <sheetData>
    <row r="1" spans="1:17" ht="65.25" customHeight="1" x14ac:dyDescent="0.1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32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18" t="s">
        <v>21</v>
      </c>
      <c r="G2" s="18" t="s">
        <v>20</v>
      </c>
      <c r="H2" s="2" t="s">
        <v>6</v>
      </c>
      <c r="I2" s="2" t="s">
        <v>7</v>
      </c>
      <c r="J2" s="18" t="s">
        <v>19</v>
      </c>
      <c r="K2" s="2" t="s">
        <v>8</v>
      </c>
      <c r="L2" s="11" t="s">
        <v>9</v>
      </c>
      <c r="M2" s="11" t="s">
        <v>10</v>
      </c>
      <c r="N2" s="2" t="s">
        <v>11</v>
      </c>
      <c r="O2" s="11" t="s">
        <v>12</v>
      </c>
      <c r="P2" s="11" t="s">
        <v>13</v>
      </c>
      <c r="Q2" s="11" t="s">
        <v>14</v>
      </c>
    </row>
    <row r="3" spans="1:17" s="1" customFormat="1" ht="51" customHeight="1" x14ac:dyDescent="0.15">
      <c r="A3" s="3">
        <v>1</v>
      </c>
      <c r="B3" s="4" t="s">
        <v>15</v>
      </c>
      <c r="C3" s="20" t="s">
        <v>23</v>
      </c>
      <c r="D3" s="19" t="s">
        <v>22</v>
      </c>
      <c r="E3" s="5"/>
      <c r="F3" s="6">
        <f>G3*H3</f>
        <v>89600</v>
      </c>
      <c r="G3" s="6">
        <v>40</v>
      </c>
      <c r="H3" s="6">
        <f>K3*I3</f>
        <v>2240</v>
      </c>
      <c r="I3" s="6">
        <v>40</v>
      </c>
      <c r="J3" s="6">
        <f>I3*G3</f>
        <v>1600</v>
      </c>
      <c r="K3" s="6">
        <v>56</v>
      </c>
      <c r="L3" s="6">
        <v>930</v>
      </c>
      <c r="M3" s="6">
        <f>L3+20</f>
        <v>950</v>
      </c>
      <c r="N3" s="21" t="s">
        <v>24</v>
      </c>
      <c r="O3" s="6">
        <f>L3*K3</f>
        <v>52080</v>
      </c>
      <c r="P3" s="6">
        <f>M3*K3</f>
        <v>53200</v>
      </c>
      <c r="Q3" s="5">
        <f>0.72*K3</f>
        <v>40.32</v>
      </c>
    </row>
    <row r="4" spans="1:17" s="1" customFormat="1" ht="51" customHeight="1" x14ac:dyDescent="0.15">
      <c r="A4" s="3">
        <v>2</v>
      </c>
      <c r="B4" s="4" t="s">
        <v>15</v>
      </c>
      <c r="C4" s="20" t="s">
        <v>23</v>
      </c>
      <c r="D4" s="17"/>
      <c r="E4" s="5"/>
      <c r="F4" s="6">
        <f>G4*H4</f>
        <v>720</v>
      </c>
      <c r="G4" s="6">
        <v>40</v>
      </c>
      <c r="H4" s="6">
        <f>K4*I4</f>
        <v>18</v>
      </c>
      <c r="I4" s="6">
        <v>18</v>
      </c>
      <c r="J4" s="6">
        <f>I4*G4</f>
        <v>720</v>
      </c>
      <c r="K4" s="6">
        <v>1</v>
      </c>
      <c r="L4" s="6">
        <v>418</v>
      </c>
      <c r="M4" s="6">
        <f>L4+20</f>
        <v>438</v>
      </c>
      <c r="N4" s="21" t="s">
        <v>25</v>
      </c>
      <c r="O4" s="6">
        <f>L4*K4</f>
        <v>418</v>
      </c>
      <c r="P4" s="6">
        <f>M4*K4</f>
        <v>438</v>
      </c>
      <c r="Q4" s="5">
        <f>0.36*K4</f>
        <v>0.36</v>
      </c>
    </row>
    <row r="5" spans="1:17" s="1" customFormat="1" ht="35.25" customHeight="1" x14ac:dyDescent="0.15">
      <c r="A5" s="13" t="s">
        <v>16</v>
      </c>
      <c r="B5" s="14"/>
      <c r="C5" s="15"/>
      <c r="D5" s="5"/>
      <c r="E5" s="5"/>
      <c r="F5" s="6">
        <f>SUM(F3:F4)</f>
        <v>90320</v>
      </c>
      <c r="G5" s="6"/>
      <c r="H5" s="6">
        <f>SUM(H3:H4)</f>
        <v>2258</v>
      </c>
      <c r="I5" s="6"/>
      <c r="J5" s="6"/>
      <c r="K5" s="6">
        <f>SUM(K3:K4)</f>
        <v>57</v>
      </c>
      <c r="L5" s="6"/>
      <c r="M5" s="6"/>
      <c r="N5" s="5"/>
      <c r="O5" s="6">
        <f>SUM(O3:O4)</f>
        <v>52498</v>
      </c>
      <c r="P5" s="6">
        <f>SUM(P3:P4)</f>
        <v>53638</v>
      </c>
      <c r="Q5" s="5">
        <f>SUM(Q3:Q4)</f>
        <v>40.68</v>
      </c>
    </row>
    <row r="6" spans="1:17" ht="21" customHeight="1" x14ac:dyDescent="0.1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ht="21" customHeight="1" x14ac:dyDescent="0.1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ht="21" customHeight="1" x14ac:dyDescent="0.15">
      <c r="A8" s="7"/>
      <c r="B8" s="7" t="s">
        <v>17</v>
      </c>
      <c r="C8" s="8"/>
      <c r="D8" s="9"/>
      <c r="E8" s="9"/>
      <c r="F8" s="9"/>
      <c r="G8" s="9"/>
      <c r="H8" s="9"/>
      <c r="I8" s="9"/>
      <c r="J8" s="9"/>
      <c r="K8" s="9"/>
      <c r="L8" s="9"/>
      <c r="M8" s="9"/>
      <c r="N8" s="7"/>
      <c r="O8" s="7"/>
      <c r="P8" s="7"/>
      <c r="Q8" s="7"/>
    </row>
    <row r="9" spans="1:17" ht="14.25" x14ac:dyDescent="0.15">
      <c r="A9" s="7"/>
      <c r="B9" s="7"/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16" t="s">
        <v>18</v>
      </c>
      <c r="O9" s="16"/>
      <c r="P9" s="16"/>
      <c r="Q9" s="16"/>
    </row>
    <row r="10" spans="1:17" ht="14.25" x14ac:dyDescent="0.15">
      <c r="A10" s="7"/>
      <c r="B10" s="7"/>
      <c r="C10" s="8"/>
      <c r="D10" s="9"/>
      <c r="E10" s="9"/>
      <c r="F10" s="9"/>
      <c r="G10" s="9"/>
      <c r="H10" s="9"/>
      <c r="I10" s="9"/>
      <c r="J10" s="9"/>
      <c r="K10" s="9"/>
      <c r="L10" s="9"/>
      <c r="M10" s="9"/>
      <c r="N10" s="16">
        <v>45922</v>
      </c>
      <c r="O10" s="16"/>
      <c r="P10" s="16"/>
      <c r="Q10" s="16"/>
    </row>
    <row r="11" spans="1:17" x14ac:dyDescent="0.15">
      <c r="A11" s="10"/>
      <c r="B11" s="10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10"/>
      <c r="O11" s="10"/>
      <c r="P11" s="10"/>
      <c r="Q11" s="10"/>
    </row>
    <row r="12" spans="1:17" x14ac:dyDescent="0.1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17" x14ac:dyDescent="0.1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 x14ac:dyDescent="0.1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 x14ac:dyDescent="0.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spans="1:17" x14ac:dyDescent="0.1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spans="1:17" x14ac:dyDescent="0.1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</sheetData>
  <mergeCells count="5">
    <mergeCell ref="A1:Q1"/>
    <mergeCell ref="A5:C5"/>
    <mergeCell ref="N9:Q9"/>
    <mergeCell ref="N10:Q10"/>
    <mergeCell ref="D3:D4"/>
  </mergeCells>
  <phoneticPr fontId="7" type="noConversion"/>
  <pageMargins left="0.7" right="0.7" top="0.75" bottom="0.75" header="0.3" footer="0.3"/>
  <pageSetup paperSize="9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2025-09-22T02:53:34Z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CDB2D16645B94F8D8BDBEF3B6A9B4456_13</vt:lpwstr>
  </property>
  <property fmtid="{D5CDD505-2E9C-101B-9397-08002B2CF9AE}" pid="3" name="KSOProductBuildVer">
    <vt:lpwstr>2052-12.1.0.16250</vt:lpwstr>
  </property>
</Properties>
</file>