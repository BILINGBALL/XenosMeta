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<sst xmlns="http://schemas.openxmlformats.org/spreadsheetml/2006/main" count="26" uniqueCount="26">
  <si>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包  装  明  细  表</t>
  </si>
  <si>
    <t>项号</t>
  </si>
  <si>
    <t>产品名称</t>
  </si>
  <si>
    <t>型号及规格</t>
  </si>
  <si>
    <t>合同号</t>
  </si>
  <si>
    <t>箱号</t>
  </si>
  <si>
    <t>数量</t>
  </si>
  <si>
    <t>件/袋</t>
  </si>
  <si>
    <t>袋/箱</t>
  </si>
  <si>
    <t>件/箱</t>
  </si>
  <si>
    <t>箱</t>
  </si>
  <si>
    <t>净重/箱
（KG）</t>
  </si>
  <si>
    <t>毛重/箱
（KG）</t>
  </si>
  <si>
    <t>体积/箱 m³</t>
  </si>
  <si>
    <t>总净重
（KG）</t>
  </si>
  <si>
    <t>总毛重
(KG）</t>
  </si>
  <si>
    <t>总体积
立方米</t>
  </si>
  <si>
    <t>螺旋道钉</t>
  </si>
  <si>
    <t>17*150</t>
  </si>
  <si>
    <t>BS2507-012</t>
  </si>
  <si>
    <t>1/2-2/2</t>
  </si>
  <si>
    <t>1200*800*730
0.7</t>
  </si>
  <si>
    <t>合计</t>
  </si>
  <si>
    <t>唛头：</t>
  </si>
  <si>
    <t>单重 0.373</t>
  </si>
  <si>
    <t>苏州苏德兰铁路配件有限公司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</si>
</sst>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[$-F800]dddd\,\ mmmm\ dd\,\ yyyy"/>
  </numFmts>
  <fonts count="25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16"/>
  <sheetViews>
    <sheetView tabSelected="1" zoomScale="115" zoomScaleNormal="115" workbookViewId="0">
      <selection activeCell="K8" sqref="K8"/>
    </sheetView>
  </sheetViews>
  <sheetFormatPr defaultColWidth="9" defaultRowHeight="13.5"/>
  <cols>
    <col min="1" max="1" width="4.625" customWidth="1"/>
    <col min="2" max="3" width="9.125" customWidth="1"/>
    <col min="4" max="4" width="12.6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ht="65.25" customHeight="1" spans="1:1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32.25" customHeight="1" spans="1:16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ht="40" customHeight="1" spans="1:16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4" t="s">
        <v>12</v>
      </c>
      <c r="M3" s="3" t="s">
        <v>13</v>
      </c>
      <c r="N3" s="4" t="s">
        <v>14</v>
      </c>
      <c r="O3" s="4" t="s">
        <v>15</v>
      </c>
      <c r="P3" s="4" t="s">
        <v>16</v>
      </c>
    </row>
    <row r="4" ht="56" customHeight="1" spans="1:16">
      <c r="A4" s="3">
        <v>1</v>
      </c>
      <c r="B4" s="3" t="s">
        <v>17</v>
      </c>
      <c r="C4" s="4" t="s">
        <v>18</v>
      </c>
      <c r="D4" s="4" t="s">
        <v>19</v>
      </c>
      <c r="E4" s="5" t="s">
        <v>20</v>
      </c>
      <c r="F4" s="3">
        <f>I4*J4</f>
        <v>4800</v>
      </c>
      <c r="G4" s="3">
        <v>50</v>
      </c>
      <c r="H4" s="3">
        <v>48</v>
      </c>
      <c r="I4" s="3">
        <f>G4*H4</f>
        <v>2400</v>
      </c>
      <c r="J4" s="3">
        <v>2</v>
      </c>
      <c r="K4" s="3">
        <v>895</v>
      </c>
      <c r="L4" s="3">
        <v>964</v>
      </c>
      <c r="M4" s="10" t="s">
        <v>21</v>
      </c>
      <c r="N4" s="3">
        <f>K4*J4</f>
        <v>1790</v>
      </c>
      <c r="O4" s="3">
        <f>L4*J4</f>
        <v>1928</v>
      </c>
      <c r="P4" s="11">
        <f>0.7*J4</f>
        <v>1.4</v>
      </c>
    </row>
    <row r="5" ht="48" customHeight="1" spans="1:16">
      <c r="A5" s="3" t="s">
        <v>22</v>
      </c>
      <c r="B5" s="3"/>
      <c r="C5" s="3"/>
      <c r="D5" s="3"/>
      <c r="E5" s="5"/>
      <c r="F5" s="3">
        <f>SUM(F4:F4)</f>
        <v>4800</v>
      </c>
      <c r="G5" s="3"/>
      <c r="H5" s="3"/>
      <c r="I5" s="3"/>
      <c r="J5" s="3">
        <f>SUM(J4:J4)</f>
        <v>2</v>
      </c>
      <c r="K5" s="3"/>
      <c r="L5" s="3"/>
      <c r="M5" s="3"/>
      <c r="N5" s="3">
        <f>SUM(N4:N4)</f>
        <v>1790</v>
      </c>
      <c r="O5" s="3">
        <f>SUM(O4:O4)</f>
        <v>1928</v>
      </c>
      <c r="P5" s="11">
        <f>SUM(P4:P4)</f>
        <v>1.4</v>
      </c>
    </row>
    <row r="6" ht="21" customHeight="1" spans="1:1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21" customHeight="1" spans="1:16">
      <c r="A7" s="6"/>
      <c r="B7" s="6" t="s">
        <v>23</v>
      </c>
      <c r="C7" s="7"/>
      <c r="D7" s="8"/>
      <c r="E7" s="8"/>
      <c r="F7" s="8"/>
      <c r="G7" s="8"/>
      <c r="H7" s="8"/>
      <c r="I7" s="8"/>
      <c r="J7" s="8"/>
      <c r="K7" s="8"/>
      <c r="L7" s="8"/>
      <c r="M7" s="6"/>
      <c r="N7" s="6"/>
      <c r="O7" s="6"/>
      <c r="P7" s="6"/>
    </row>
    <row r="8" ht="14.25" spans="1:16">
      <c r="A8" s="6"/>
      <c r="B8" s="6"/>
      <c r="C8" s="7"/>
      <c r="D8" s="8" t="s">
        <v>24</v>
      </c>
      <c r="E8" s="8"/>
      <c r="F8" s="8"/>
      <c r="G8" s="8"/>
      <c r="H8" s="8"/>
      <c r="I8" s="8"/>
      <c r="J8" s="8"/>
      <c r="K8" s="8"/>
      <c r="L8" s="8"/>
      <c r="M8" s="12" t="s">
        <v>25</v>
      </c>
      <c r="N8" s="12"/>
      <c r="O8" s="12"/>
      <c r="P8" s="12"/>
    </row>
    <row r="9" ht="14.25" spans="1:16">
      <c r="A9" s="6"/>
      <c r="B9" s="6"/>
      <c r="C9" s="7"/>
      <c r="D9" s="8"/>
      <c r="E9" s="8"/>
      <c r="F9" s="8"/>
      <c r="G9" s="8"/>
      <c r="H9" s="8"/>
      <c r="I9" s="8"/>
      <c r="J9" s="8"/>
      <c r="K9" s="8"/>
      <c r="L9" s="8"/>
      <c r="M9" s="13">
        <v>45908</v>
      </c>
      <c r="N9" s="13"/>
      <c r="O9" s="13"/>
      <c r="P9" s="13"/>
    </row>
    <row r="10" spans="1:16">
      <c r="A10" s="9"/>
      <c r="B10" s="9"/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  <c r="N10" s="9"/>
      <c r="O10" s="9"/>
      <c r="P10" s="9"/>
    </row>
    <row r="11" spans="1:16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</row>
    <row r="12" spans="1:16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</sheetData>
  <mergeCells count="4">
    <mergeCell ref="A1:P1"/>
    <mergeCell ref="A5:C5"/>
    <mergeCell ref="M8:P8"/>
    <mergeCell ref="M9:P9"/>
  </mergeCells>
  <pageMargins left="0.7" right="0.7" top="0.75" bottom="0.75" header="0.3" footer="0.3"/>
  <pageSetup paperSize="9" scale="90" orientation="landscape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汪叽</cp:lastModifiedBy>
  <dcterms:created xsi:type="dcterms:W3CDTF">2006-09-13T11:21:00Z</dcterms:created>
  <dcterms:modified xsi:type="dcterms:W3CDTF">2025-09-08T06:05:07Z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83DEEBAA95B647BA848160CE2E88BFD8_13</vt:lpwstr>
  </property>
  <property fmtid="{D5CDD505-2E9C-101B-9397-08002B2CF9AE}" pid="3" name="KSOProductBuildVer">
    <vt:lpwstr>2052-12.1.0.22529</vt:lpwstr>
  </property>
</Properties>
</file>