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8382221F-718F-447F-9091-F263684603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4" i="1"/>
  <c r="L5" i="1"/>
  <c r="L4" i="1"/>
  <c r="P6" i="1"/>
  <c r="J6" i="1"/>
  <c r="F6" i="1"/>
  <c r="O4" i="1"/>
  <c r="N4" i="1"/>
  <c r="I4" i="1"/>
  <c r="F4" i="1" s="1"/>
  <c r="O5" i="1"/>
  <c r="N5" i="1"/>
  <c r="I5" i="1"/>
  <c r="F5" i="1" s="1"/>
  <c r="O6" i="1" l="1"/>
  <c r="N6" i="1"/>
</calcChain>
</file>

<file path=xl/sharedStrings.xml><?xml version="1.0" encoding="utf-8"?>
<sst xmlns="http://schemas.openxmlformats.org/spreadsheetml/2006/main" count="31" uniqueCount="27">
  <si>
    <t>包  装  明  细  表</t>
  </si>
  <si>
    <t>项号</t>
  </si>
  <si>
    <t>产品名称</t>
  </si>
  <si>
    <t>型号及规格</t>
  </si>
  <si>
    <t>合同号</t>
  </si>
  <si>
    <t>箱号</t>
  </si>
  <si>
    <t>数量</t>
  </si>
  <si>
    <t>件/袋</t>
  </si>
  <si>
    <t>袋/箱</t>
  </si>
  <si>
    <t>件/箱</t>
  </si>
  <si>
    <t>箱</t>
  </si>
  <si>
    <t>净重/箱
（KG）</t>
  </si>
  <si>
    <t>毛重/箱
（KG）</t>
  </si>
  <si>
    <t>体积/箱 m³</t>
  </si>
  <si>
    <t>总净重
（KG）</t>
  </si>
  <si>
    <t>总毛重
(KG）</t>
  </si>
  <si>
    <t>总体积
立方米</t>
  </si>
  <si>
    <t>螺旋道钉</t>
  </si>
  <si>
    <t>17*150</t>
  </si>
  <si>
    <t>合计</t>
  </si>
  <si>
    <t>唛头：</t>
  </si>
  <si>
    <t>单重 0.373</t>
  </si>
  <si>
    <t>苏州苏德兰铁路配件有限公司</t>
  </si>
  <si>
    <t>BS2512-011</t>
    <phoneticPr fontId="6" type="noConversion"/>
  </si>
  <si>
    <t>1/8-7/8</t>
    <phoneticPr fontId="6" type="noConversion"/>
  </si>
  <si>
    <t>8/8</t>
    <phoneticPr fontId="6" type="noConversion"/>
  </si>
  <si>
    <t>1200*800*550
0.53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</si>
</sst>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79" fontId="5" fillId="0" borderId="0" xfId="0" applyNumberFormat="1" applyFont="1" applyAlignment="1">
      <alignment horizontal="right" vertical="center"/>
    </xf>
    <xf numFmtId="49" fontId="2" fillId="0" borderId="2" xfId="0" quotePrefix="1" applyNumberFormat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"/>
  <sheetViews>
    <sheetView tabSelected="1" topLeftCell="C2" zoomScale="115" zoomScaleNormal="115" workbookViewId="0">
      <selection activeCell="O5" sqref="O5"/>
    </sheetView>
  </sheetViews>
  <sheetFormatPr defaultColWidth="9" defaultRowHeight="13.5" x14ac:dyDescent="0.15"/>
  <cols>
    <col min="1" max="1" width="4.625" customWidth="1"/>
    <col min="2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32.25" customHeight="1" x14ac:dyDescent="0.1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9.950000000000003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  <c r="L3" s="4" t="s">
        <v>12</v>
      </c>
      <c r="M3" s="3" t="s">
        <v>13</v>
      </c>
      <c r="N3" s="4" t="s">
        <v>14</v>
      </c>
      <c r="O3" s="4" t="s">
        <v>15</v>
      </c>
      <c r="P3" s="4" t="s">
        <v>16</v>
      </c>
    </row>
    <row r="4" spans="1:16" ht="56.1" customHeight="1" x14ac:dyDescent="0.15">
      <c r="A4" s="3">
        <v>1</v>
      </c>
      <c r="B4" s="3" t="s">
        <v>17</v>
      </c>
      <c r="C4" s="4" t="s">
        <v>18</v>
      </c>
      <c r="D4" s="4" t="s">
        <v>23</v>
      </c>
      <c r="E4" s="5" t="s">
        <v>24</v>
      </c>
      <c r="F4" s="3">
        <f>I4*J4</f>
        <v>10500</v>
      </c>
      <c r="G4" s="3">
        <v>50</v>
      </c>
      <c r="H4" s="3">
        <v>30</v>
      </c>
      <c r="I4" s="3">
        <f>G4*H4</f>
        <v>1500</v>
      </c>
      <c r="J4" s="3">
        <v>7</v>
      </c>
      <c r="K4" s="3">
        <v>584</v>
      </c>
      <c r="L4" s="3">
        <f>K4+42</f>
        <v>626</v>
      </c>
      <c r="M4" s="16" t="s">
        <v>26</v>
      </c>
      <c r="N4" s="3">
        <f>K4*J4</f>
        <v>4088</v>
      </c>
      <c r="O4" s="3">
        <f>L4*J4</f>
        <v>4382</v>
      </c>
      <c r="P4" s="10">
        <f>0.53*J4</f>
        <v>3.71</v>
      </c>
    </row>
    <row r="5" spans="1:16" ht="56.1" customHeight="1" x14ac:dyDescent="0.15">
      <c r="A5" s="3">
        <v>2</v>
      </c>
      <c r="B5" s="3" t="s">
        <v>17</v>
      </c>
      <c r="C5" s="4" t="s">
        <v>18</v>
      </c>
      <c r="D5" s="4" t="s">
        <v>23</v>
      </c>
      <c r="E5" s="15" t="s">
        <v>25</v>
      </c>
      <c r="F5" s="3">
        <f>I5*J5</f>
        <v>500</v>
      </c>
      <c r="G5" s="3">
        <v>50</v>
      </c>
      <c r="H5" s="3">
        <v>10</v>
      </c>
      <c r="I5" s="3">
        <f>G5*H5</f>
        <v>500</v>
      </c>
      <c r="J5" s="3">
        <v>1</v>
      </c>
      <c r="K5" s="3">
        <v>194</v>
      </c>
      <c r="L5" s="3">
        <f>K5+42</f>
        <v>236</v>
      </c>
      <c r="M5" s="16" t="s">
        <v>26</v>
      </c>
      <c r="N5" s="3">
        <f>K5*J5</f>
        <v>194</v>
      </c>
      <c r="O5" s="3">
        <f>L5*J5</f>
        <v>236</v>
      </c>
      <c r="P5" s="10">
        <f>0.53*J5</f>
        <v>0.53</v>
      </c>
    </row>
    <row r="6" spans="1:16" ht="48" customHeight="1" x14ac:dyDescent="0.15">
      <c r="A6" s="12" t="s">
        <v>19</v>
      </c>
      <c r="B6" s="12"/>
      <c r="C6" s="12"/>
      <c r="D6" s="3"/>
      <c r="E6" s="5"/>
      <c r="F6" s="3">
        <f>SUM(F4:F5)</f>
        <v>11000</v>
      </c>
      <c r="G6" s="3"/>
      <c r="H6" s="3"/>
      <c r="I6" s="3"/>
      <c r="J6" s="3">
        <f>SUM(J4:J5)</f>
        <v>8</v>
      </c>
      <c r="K6" s="3"/>
      <c r="L6" s="3"/>
      <c r="M6" s="3"/>
      <c r="N6" s="3">
        <f t="shared" ref="N6:P6" si="0">SUM(N4:N5)</f>
        <v>4282</v>
      </c>
      <c r="O6" s="3">
        <f t="shared" si="0"/>
        <v>4618</v>
      </c>
      <c r="P6" s="3">
        <f t="shared" si="0"/>
        <v>4.24</v>
      </c>
    </row>
    <row r="7" spans="1:16" ht="21" customHeight="1" x14ac:dyDescent="0.1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21" customHeight="1" x14ac:dyDescent="0.15">
      <c r="A8" s="6"/>
      <c r="B8" s="6" t="s">
        <v>20</v>
      </c>
      <c r="C8" s="7"/>
      <c r="D8" s="8"/>
      <c r="E8" s="8"/>
      <c r="F8" s="8"/>
      <c r="G8" s="8"/>
      <c r="H8" s="8"/>
      <c r="I8" s="8"/>
      <c r="J8" s="8"/>
      <c r="K8" s="8"/>
      <c r="L8" s="8"/>
      <c r="M8" s="6"/>
      <c r="N8" s="6"/>
      <c r="O8" s="6"/>
      <c r="P8" s="6"/>
    </row>
    <row r="9" spans="1:16" ht="14.25" x14ac:dyDescent="0.15">
      <c r="A9" s="6"/>
      <c r="B9" s="6"/>
      <c r="C9" s="7"/>
      <c r="D9" s="8" t="s">
        <v>21</v>
      </c>
      <c r="E9" s="8"/>
      <c r="F9" s="8"/>
      <c r="G9" s="8"/>
      <c r="H9" s="8"/>
      <c r="I9" s="8"/>
      <c r="J9" s="8"/>
      <c r="K9" s="8"/>
      <c r="L9" s="8"/>
      <c r="M9" s="13" t="s">
        <v>22</v>
      </c>
      <c r="N9" s="13"/>
      <c r="O9" s="13"/>
      <c r="P9" s="13"/>
    </row>
    <row r="10" spans="1:16" ht="14.25" x14ac:dyDescent="0.15">
      <c r="A10" s="6"/>
      <c r="B10" s="6"/>
      <c r="C10" s="7"/>
      <c r="D10" s="8"/>
      <c r="E10" s="8"/>
      <c r="F10" s="8"/>
      <c r="G10" s="8"/>
      <c r="H10" s="8"/>
      <c r="I10" s="8"/>
      <c r="J10" s="8"/>
      <c r="K10" s="8"/>
      <c r="L10" s="8"/>
      <c r="M10" s="14">
        <v>46059</v>
      </c>
      <c r="N10" s="14"/>
      <c r="O10" s="14"/>
      <c r="P10" s="14"/>
    </row>
    <row r="11" spans="1:16" x14ac:dyDescent="0.15">
      <c r="A11" s="9"/>
      <c r="B11" s="9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</sheetData>
  <mergeCells count="4">
    <mergeCell ref="A1:P1"/>
    <mergeCell ref="A6:C6"/>
    <mergeCell ref="M9:P9"/>
    <mergeCell ref="M10:P10"/>
  </mergeCells>
  <phoneticPr fontId="6" type="noConversion"/>
  <pageMargins left="0.7" right="0.7" top="0.75" bottom="0.75" header="0.3" footer="0.3"/>
  <pageSetup paperSize="9" scale="90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2026-02-06T05:18:18Z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83DEEBAA95B647BA848160CE2E88BFD8_13</vt:lpwstr>
  </property>
  <property fmtid="{D5CDD505-2E9C-101B-9397-08002B2CF9AE}" pid="3" name="KSOProductBuildVer">
    <vt:lpwstr>2052-12.1.0.22529</vt:lpwstr>
  </property>
</Properties>
</file>