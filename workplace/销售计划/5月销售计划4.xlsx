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AA301662-799B-4B58-BD90-0C13EFD381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Q6" i="1"/>
  <c r="Q8" i="1"/>
  <c r="P8" i="1"/>
  <c r="N8" i="1"/>
  <c r="L8" i="1"/>
  <c r="K8" i="1"/>
  <c r="J8" i="1"/>
  <c r="K7" i="1"/>
  <c r="K6" i="1"/>
  <c r="L5" i="1" l="1"/>
  <c r="R5" i="1"/>
  <c r="L7" i="1" l="1"/>
  <c r="L6" i="1"/>
  <c r="R7" i="1"/>
  <c r="R6" i="1"/>
  <c r="R8" i="1" s="1"/>
</calcChain>
</file>

<file path=xl/sharedStrings.xml><?xml version="1.0" encoding="utf-8"?>
<sst xmlns="http://schemas.openxmlformats.org/spreadsheetml/2006/main" count="75" uniqueCount="64">
  <si>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</si>
  <si>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</si>
  <si>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</si>
  <si>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</si>
  <si>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</si>
  <si>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</si>
  <si>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</si>
  <si>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</si>
  <si>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</si>
  <si>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</si>
  <si>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</si>
  <si>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</si>
  <si>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</si>
  <si>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</si>
  <si>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</si>
  <si>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</si>
  <si>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</si>
  <si>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</si>
  <si>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</si>
  <si>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</si>
  <si>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</si>
  <si>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</si>
  <si>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</si>
  <si>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托</t>
  </si>
  <si>
    <t>合计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</si>
  <si>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</si>
  <si>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</si>
  <si>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</si>
  <si>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</si>
  <si>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</si>
  <si>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3、</t>
  </si>
  <si>
    <t>品管部负责办理质量证明书，检测报告及相关数据。</t>
  </si>
  <si>
    <t>分发：总经理、总经办、品管部、生产部</t>
  </si>
  <si>
    <t>高蕾</t>
    <phoneticPr fontId="7" type="noConversion"/>
  </si>
  <si>
    <t>产品
图纸</t>
    <phoneticPr fontId="7" type="noConversion"/>
  </si>
  <si>
    <t>件</t>
    <phoneticPr fontId="7" type="noConversion"/>
  </si>
  <si>
    <t>详见
图纸</t>
    <phoneticPr fontId="7" type="noConversion"/>
  </si>
  <si>
    <t>4、</t>
    <phoneticPr fontId="7" type="noConversion"/>
  </si>
  <si>
    <t>包装待定</t>
    <phoneticPr fontId="7" type="noConversion"/>
  </si>
  <si>
    <t>件/袋</t>
    <phoneticPr fontId="7" type="noConversion"/>
  </si>
  <si>
    <t>袋</t>
    <phoneticPr fontId="7" type="noConversion"/>
  </si>
  <si>
    <t>袋/托</t>
    <phoneticPr fontId="7" type="noConversion"/>
  </si>
  <si>
    <t>螺纹道钉</t>
    <phoneticPr fontId="7" type="noConversion"/>
  </si>
  <si>
    <t>生产部门按生产工艺生产，加强自检，严格质量管理。</t>
    <phoneticPr fontId="7" type="noConversion"/>
  </si>
  <si>
    <t>5 月  份  销  售  计  划  4</t>
    <phoneticPr fontId="7" type="noConversion"/>
  </si>
  <si>
    <t>平垫</t>
    <phoneticPr fontId="7" type="noConversion"/>
  </si>
  <si>
    <t>双弹</t>
    <phoneticPr fontId="7" type="noConversion"/>
  </si>
  <si>
    <t>库存</t>
    <phoneticPr fontId="7" type="noConversion"/>
  </si>
  <si>
    <t>SS35
24*161</t>
    <phoneticPr fontId="7" type="noConversion"/>
  </si>
  <si>
    <t>ZSTL-KB2026042401</t>
    <phoneticPr fontId="7" type="noConversion"/>
  </si>
  <si>
    <t>35K</t>
    <phoneticPr fontId="7" type="noConversion"/>
  </si>
  <si>
    <t>Q345B</t>
    <phoneticPr fontId="7" type="noConversion"/>
  </si>
  <si>
    <t>60Si2Mn</t>
    <phoneticPr fontId="7" type="noConversion"/>
  </si>
  <si>
    <t>LD-24/2</t>
    <phoneticPr fontId="7" type="noConversion"/>
  </si>
  <si>
    <t>DQ-24-S</t>
    <phoneticPr fontId="7" type="noConversion"/>
  </si>
  <si>
    <t>DQ-108</t>
    <phoneticPr fontId="7" type="noConversion"/>
  </si>
  <si>
    <t>260509-2</t>
    <phoneticPr fontId="7" type="noConversion"/>
  </si>
  <si>
    <t>260509-3</t>
  </si>
  <si>
    <t>260509-4</t>
  </si>
  <si>
    <t>锁垫圈</t>
    <phoneticPr fontId="7" type="noConversion"/>
  </si>
  <si>
    <t>编织袋+托盘（免熏蒸）</t>
    <phoneticPr fontId="7" type="noConversion"/>
  </si>
  <si>
    <t>编织袋+托盘（免熏蒸材质）。包装足够结实，适合多次转运。</t>
    <phoneticPr fontId="7" type="noConversion"/>
  </si>
  <si>
    <t>热镀锌</t>
    <phoneticPr fontId="7" type="noConversion"/>
  </si>
  <si>
    <t>2026-5-23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</si>
</sst>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[$-F800]dddd\,\ mmmm\ dd\,\ yyyy"/>
    <numFmt numFmtId="178" formatCode="0_ "/>
    <numFmt numFmtId="179" formatCode="0.0_ "/>
  </numFmts>
  <fonts count="11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8" fontId="1" fillId="0" borderId="4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77" fontId="6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79" fontId="10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8"/>
  <sheetViews>
    <sheetView tabSelected="1" topLeftCell="A7" workbookViewId="0">
      <selection activeCell="K5" sqref="K5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6" width="10.375" style="2" customWidth="1"/>
    <col min="7" max="7" width="7.125" style="2" customWidth="1"/>
    <col min="8" max="8" width="5.625" style="2" customWidth="1"/>
    <col min="9" max="9" width="5.25" style="2" customWidth="1"/>
    <col min="10" max="10" width="6.375" style="2" customWidth="1"/>
    <col min="11" max="11" width="8" style="2" customWidth="1"/>
    <col min="12" max="12" width="5.625" style="2" customWidth="1"/>
    <col min="13" max="13" width="4.25" style="2" customWidth="1"/>
    <col min="14" max="14" width="5.625" style="2" customWidth="1"/>
    <col min="15" max="15" width="4.625" style="2" customWidth="1"/>
    <col min="16" max="16" width="5" style="2" customWidth="1"/>
    <col min="17" max="17" width="7.75" style="2" customWidth="1"/>
    <col min="18" max="18" width="5.625" style="2" customWidth="1"/>
    <col min="19" max="19" width="8.75" style="2" customWidth="1"/>
    <col min="20" max="20" width="6.625" style="2" customWidth="1"/>
    <col min="21" max="21" width="8.125" style="2" customWidth="1"/>
    <col min="22" max="22" width="6" style="2" customWidth="1"/>
    <col min="23" max="16384" width="9" style="2"/>
  </cols>
  <sheetData>
    <row r="1" spans="1:22" ht="33" customHeight="1" x14ac:dyDescent="0.15">
      <c r="A1" s="26" t="s">
        <v>44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s="1" customFormat="1" ht="21" customHeight="1" x14ac:dyDescent="0.15">
      <c r="B2" s="1" t="s">
        <v>0</v>
      </c>
      <c r="C2" s="11" t="s">
        <v>33</v>
      </c>
      <c r="G2" s="27" t="s">
        <v>1</v>
      </c>
      <c r="H2" s="27"/>
      <c r="N2" s="27" t="s">
        <v>2</v>
      </c>
      <c r="O2" s="27"/>
      <c r="T2" s="28" t="s">
        <v>3</v>
      </c>
      <c r="U2" s="29"/>
      <c r="V2" s="29"/>
    </row>
    <row r="3" spans="1:22" s="1" customFormat="1" ht="27" customHeight="1" x14ac:dyDescent="0.15">
      <c r="A3" s="19" t="s">
        <v>4</v>
      </c>
      <c r="B3" s="19" t="s">
        <v>5</v>
      </c>
      <c r="C3" s="19" t="s">
        <v>6</v>
      </c>
      <c r="D3" s="19" t="s">
        <v>7</v>
      </c>
      <c r="E3" s="19" t="s">
        <v>8</v>
      </c>
      <c r="F3" s="32" t="s">
        <v>34</v>
      </c>
      <c r="G3" s="3" t="s">
        <v>9</v>
      </c>
      <c r="H3" s="30" t="s">
        <v>10</v>
      </c>
      <c r="I3" s="31"/>
      <c r="J3" s="31"/>
      <c r="K3" s="19" t="s">
        <v>11</v>
      </c>
      <c r="L3" s="19"/>
      <c r="M3" s="19"/>
      <c r="N3" s="19"/>
      <c r="O3" s="19"/>
      <c r="P3" s="19"/>
      <c r="Q3" s="19" t="s">
        <v>12</v>
      </c>
      <c r="R3" s="19"/>
      <c r="S3" s="19" t="s">
        <v>13</v>
      </c>
      <c r="T3" s="19" t="s">
        <v>14</v>
      </c>
      <c r="U3" s="19" t="s">
        <v>15</v>
      </c>
      <c r="V3" s="19" t="s">
        <v>16</v>
      </c>
    </row>
    <row r="4" spans="1:22" s="1" customFormat="1" ht="27.75" customHeight="1" x14ac:dyDescent="0.15">
      <c r="A4" s="19"/>
      <c r="B4" s="19"/>
      <c r="C4" s="19"/>
      <c r="D4" s="19"/>
      <c r="E4" s="19"/>
      <c r="F4" s="19"/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39</v>
      </c>
      <c r="N4" s="3" t="s">
        <v>40</v>
      </c>
      <c r="O4" s="3" t="s">
        <v>41</v>
      </c>
      <c r="P4" s="3" t="s">
        <v>23</v>
      </c>
      <c r="Q4" s="3" t="s">
        <v>21</v>
      </c>
      <c r="R4" s="3" t="s">
        <v>22</v>
      </c>
      <c r="S4" s="19"/>
      <c r="T4" s="19"/>
      <c r="U4" s="19"/>
      <c r="V4" s="19"/>
    </row>
    <row r="5" spans="1:22" s="1" customFormat="1" ht="59.25" customHeight="1" x14ac:dyDescent="0.15">
      <c r="A5" s="3">
        <v>1</v>
      </c>
      <c r="B5" s="3" t="s">
        <v>42</v>
      </c>
      <c r="C5" s="3" t="s">
        <v>48</v>
      </c>
      <c r="D5" s="13" t="s">
        <v>56</v>
      </c>
      <c r="E5" s="17" t="s">
        <v>49</v>
      </c>
      <c r="F5" s="3" t="s">
        <v>53</v>
      </c>
      <c r="G5" s="5">
        <v>0.61</v>
      </c>
      <c r="H5" s="3" t="s">
        <v>50</v>
      </c>
      <c r="I5" s="20" t="s">
        <v>47</v>
      </c>
      <c r="J5" s="21"/>
      <c r="K5" s="3">
        <v>1850</v>
      </c>
      <c r="L5" s="10">
        <f>K5*G5/1000</f>
        <v>1.1285000000000001</v>
      </c>
      <c r="M5" s="3">
        <v>35</v>
      </c>
      <c r="N5" s="3">
        <v>53</v>
      </c>
      <c r="O5" s="3">
        <v>30</v>
      </c>
      <c r="P5" s="3">
        <v>2</v>
      </c>
      <c r="Q5" s="3">
        <v>1850</v>
      </c>
      <c r="R5" s="10">
        <f>Q5*G5/1000</f>
        <v>1.1285000000000001</v>
      </c>
      <c r="S5" s="41" t="s">
        <v>63</v>
      </c>
      <c r="T5" s="3"/>
      <c r="U5" s="4" t="s">
        <v>62</v>
      </c>
      <c r="V5" s="17" t="s">
        <v>60</v>
      </c>
    </row>
    <row r="6" spans="1:22" s="1" customFormat="1" ht="54.75" customHeight="1" x14ac:dyDescent="0.15">
      <c r="A6" s="3">
        <v>2</v>
      </c>
      <c r="B6" s="3" t="s">
        <v>45</v>
      </c>
      <c r="C6" s="3">
        <v>25</v>
      </c>
      <c r="D6" s="13" t="s">
        <v>57</v>
      </c>
      <c r="E6" s="38"/>
      <c r="F6" s="33" t="s">
        <v>54</v>
      </c>
      <c r="G6" s="3">
        <v>0.04</v>
      </c>
      <c r="H6" s="3" t="s">
        <v>51</v>
      </c>
      <c r="I6" s="44"/>
      <c r="J6" s="45"/>
      <c r="K6" s="3">
        <f>K5</f>
        <v>1850</v>
      </c>
      <c r="L6" s="34">
        <f t="shared" ref="L6:L7" si="0">K6*G6/1000</f>
        <v>7.3999999999999996E-2</v>
      </c>
      <c r="M6" s="20" t="s">
        <v>59</v>
      </c>
      <c r="N6" s="35"/>
      <c r="O6" s="35"/>
      <c r="P6" s="21"/>
      <c r="Q6" s="3">
        <f>Q5</f>
        <v>1850</v>
      </c>
      <c r="R6" s="36">
        <f>Q6*G6/1000</f>
        <v>7.3999999999999996E-2</v>
      </c>
      <c r="S6" s="42"/>
      <c r="T6" s="37"/>
      <c r="U6" s="4" t="s">
        <v>62</v>
      </c>
      <c r="V6" s="38"/>
    </row>
    <row r="7" spans="1:22" s="1" customFormat="1" ht="54.75" customHeight="1" x14ac:dyDescent="0.15">
      <c r="A7" s="3">
        <v>3</v>
      </c>
      <c r="B7" s="3" t="s">
        <v>46</v>
      </c>
      <c r="C7" s="3">
        <v>25</v>
      </c>
      <c r="D7" s="13" t="s">
        <v>58</v>
      </c>
      <c r="E7" s="18"/>
      <c r="F7" s="33" t="s">
        <v>55</v>
      </c>
      <c r="G7" s="3">
        <v>9.5000000000000001E-2</v>
      </c>
      <c r="H7" s="3" t="s">
        <v>52</v>
      </c>
      <c r="I7" s="22"/>
      <c r="J7" s="23"/>
      <c r="K7" s="3">
        <f>K5</f>
        <v>1850</v>
      </c>
      <c r="L7" s="34">
        <f t="shared" si="0"/>
        <v>0.17574999999999999</v>
      </c>
      <c r="M7" s="40">
        <v>200</v>
      </c>
      <c r="N7" s="3">
        <v>10</v>
      </c>
      <c r="O7" s="3">
        <v>10</v>
      </c>
      <c r="P7" s="3">
        <v>1</v>
      </c>
      <c r="Q7" s="3">
        <f>Q5</f>
        <v>1850</v>
      </c>
      <c r="R7" s="36">
        <f>Q7*G7/1000</f>
        <v>0.17574999999999999</v>
      </c>
      <c r="S7" s="43"/>
      <c r="T7" s="37"/>
      <c r="U7" s="4" t="s">
        <v>62</v>
      </c>
      <c r="V7" s="18"/>
    </row>
    <row r="8" spans="1:22" s="1" customFormat="1" ht="16.5" customHeight="1" x14ac:dyDescent="0.15">
      <c r="A8" s="20" t="s">
        <v>24</v>
      </c>
      <c r="B8" s="21"/>
      <c r="C8" s="17"/>
      <c r="D8" s="17"/>
      <c r="E8" s="17"/>
      <c r="F8" s="17"/>
      <c r="G8" s="17"/>
      <c r="H8" s="17"/>
      <c r="I8" s="17"/>
      <c r="J8" s="9">
        <f>J5</f>
        <v>0</v>
      </c>
      <c r="K8" s="9">
        <f>K5+K6+K7</f>
        <v>5550</v>
      </c>
      <c r="L8" s="9">
        <f>L5+L6+L7</f>
        <v>1.3782500000000002</v>
      </c>
      <c r="M8" s="9"/>
      <c r="N8" s="9">
        <f>N5+N6+N7</f>
        <v>63</v>
      </c>
      <c r="O8" s="9"/>
      <c r="P8" s="9">
        <f>P5+P6+P7</f>
        <v>3</v>
      </c>
      <c r="Q8" s="9">
        <f>Q5+Q6+Q7</f>
        <v>5550</v>
      </c>
      <c r="R8" s="9">
        <f>R5+R6+R7</f>
        <v>1.3782500000000002</v>
      </c>
      <c r="S8" s="4"/>
      <c r="T8" s="24" t="s">
        <v>36</v>
      </c>
      <c r="U8" s="4"/>
      <c r="V8" s="4"/>
    </row>
    <row r="9" spans="1:22" s="1" customFormat="1" ht="16.5" customHeight="1" x14ac:dyDescent="0.15">
      <c r="A9" s="22"/>
      <c r="B9" s="23"/>
      <c r="C9" s="18"/>
      <c r="D9" s="18"/>
      <c r="E9" s="18"/>
      <c r="F9" s="18"/>
      <c r="G9" s="18"/>
      <c r="H9" s="18"/>
      <c r="I9" s="18"/>
      <c r="J9" s="6" t="s">
        <v>22</v>
      </c>
      <c r="K9" s="12" t="s">
        <v>35</v>
      </c>
      <c r="L9" s="6" t="s">
        <v>22</v>
      </c>
      <c r="M9" s="6"/>
      <c r="N9" s="6" t="s">
        <v>40</v>
      </c>
      <c r="O9" s="6"/>
      <c r="P9" s="6" t="s">
        <v>23</v>
      </c>
      <c r="Q9" s="12" t="s">
        <v>35</v>
      </c>
      <c r="R9" s="7" t="s">
        <v>22</v>
      </c>
      <c r="S9" s="6"/>
      <c r="T9" s="25"/>
      <c r="U9" s="6"/>
      <c r="V9" s="6"/>
    </row>
    <row r="11" spans="1:22" s="1" customFormat="1" ht="19.5" customHeight="1" x14ac:dyDescent="0.15">
      <c r="B11" s="1" t="s">
        <v>25</v>
      </c>
      <c r="Q11" s="39" t="s">
        <v>47</v>
      </c>
      <c r="R11" s="8"/>
      <c r="S11" s="14" t="s">
        <v>38</v>
      </c>
    </row>
    <row r="12" spans="1:22" s="1" customFormat="1" ht="19.5" customHeight="1" x14ac:dyDescent="0.15">
      <c r="A12" s="1" t="s">
        <v>26</v>
      </c>
      <c r="B12" s="16" t="s">
        <v>27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spans="1:22" s="1" customFormat="1" ht="19.5" customHeight="1" x14ac:dyDescent="0.15">
      <c r="B13" s="16" t="s">
        <v>28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spans="1:22" s="1" customFormat="1" ht="19.5" customHeight="1" x14ac:dyDescent="0.15">
      <c r="A14" s="1" t="s">
        <v>29</v>
      </c>
      <c r="B14" s="16" t="s">
        <v>43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 spans="1:22" s="1" customFormat="1" ht="19.5" customHeight="1" x14ac:dyDescent="0.15">
      <c r="A15" s="1" t="s">
        <v>30</v>
      </c>
      <c r="B15" s="16" t="s">
        <v>31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 spans="1:22" s="1" customFormat="1" ht="31.5" customHeight="1" x14ac:dyDescent="0.15">
      <c r="A16" s="11" t="s">
        <v>37</v>
      </c>
      <c r="B16" s="16" t="s">
        <v>61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 spans="3:22" ht="20.25" customHeight="1" x14ac:dyDescent="0.15">
      <c r="C17" s="16" t="s">
        <v>32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spans="3:22" ht="22.5" x14ac:dyDescent="0.15">
      <c r="Q18" s="15">
        <v>46151</v>
      </c>
      <c r="R18" s="15"/>
      <c r="S18" s="15"/>
      <c r="T18" s="15"/>
      <c r="U18" s="15"/>
      <c r="V18" s="15"/>
    </row>
  </sheetData>
  <mergeCells count="38">
    <mergeCell ref="V5:V7"/>
    <mergeCell ref="M6:P6"/>
    <mergeCell ref="E5:E7"/>
    <mergeCell ref="S5:S7"/>
    <mergeCell ref="I5:J7"/>
    <mergeCell ref="A1:V1"/>
    <mergeCell ref="G2:H2"/>
    <mergeCell ref="N2:O2"/>
    <mergeCell ref="T2:V2"/>
    <mergeCell ref="H3:J3"/>
    <mergeCell ref="K3:P3"/>
    <mergeCell ref="Q3:R3"/>
    <mergeCell ref="S3:S4"/>
    <mergeCell ref="T3:T4"/>
    <mergeCell ref="U3:U4"/>
    <mergeCell ref="V3:V4"/>
    <mergeCell ref="E3:E4"/>
    <mergeCell ref="A3:A4"/>
    <mergeCell ref="F3:F4"/>
    <mergeCell ref="B3:B4"/>
    <mergeCell ref="C3:C4"/>
    <mergeCell ref="D3:D4"/>
    <mergeCell ref="D8:D9"/>
    <mergeCell ref="A8:B9"/>
    <mergeCell ref="T8:T9"/>
    <mergeCell ref="F8:F9"/>
    <mergeCell ref="G8:G9"/>
    <mergeCell ref="H8:H9"/>
    <mergeCell ref="I8:I9"/>
    <mergeCell ref="C8:C9"/>
    <mergeCell ref="Q18:V18"/>
    <mergeCell ref="B13:V13"/>
    <mergeCell ref="B14:V14"/>
    <mergeCell ref="E8:E9"/>
    <mergeCell ref="B15:V15"/>
    <mergeCell ref="C17:M17"/>
    <mergeCell ref="B12:V12"/>
    <mergeCell ref="B16:V16"/>
  </mergeCells>
  <phoneticPr fontId="7" type="noConversion"/>
  <pageMargins left="0.70069444444444495" right="0.70069444444444495" top="0.75138888888888899" bottom="0.75138888888888899" header="0.29861111111111099" footer="0.29861111111111099"/>
  <pageSetup paperSize="9" scale="92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2026-01-16T07:00:48Z</cp:lastPrinted>
  <dcterms:created xsi:type="dcterms:W3CDTF">2006-09-13T11:21:00Z</dcterms:created>
  <dcterms:modified xsi:type="dcterms:W3CDTF">2026-05-09T03:25:39Z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6AF829705AC1456B882EAD342E3F8FD3_13</vt:lpwstr>
  </property>
  <property fmtid="{D5CDD505-2E9C-101B-9397-08002B2CF9AE}" pid="3" name="KSOProductBuildVer">
    <vt:lpwstr>2052-12.1.0.17133</vt:lpwstr>
  </property>
</Properties>
</file>