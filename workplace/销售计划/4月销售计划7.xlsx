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2657DE65-4600-4BB3-BDA8-989A89ECA6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N6" i="1"/>
  <c r="K6" i="1"/>
  <c r="R5" i="1"/>
  <c r="R6" i="1" s="1"/>
  <c r="L5" i="1"/>
  <c r="J5" i="1" s="1"/>
  <c r="J6" i="1" s="1"/>
  <c r="L6" i="1" l="1"/>
</calcChain>
</file>

<file path=xl/sharedStrings.xml><?xml version="1.0" encoding="utf-8"?>
<sst xmlns="http://schemas.openxmlformats.org/spreadsheetml/2006/main" count="64" uniqueCount="56">
  <si>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</si>
  <si>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</si>
  <si>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</si>
  <si>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</si>
  <si>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</si>
  <si>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</si>
  <si>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</si>
  <si>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</si>
  <si>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</si>
  <si>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</si>
  <si>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</si>
  <si>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</si>
  <si>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</si>
  <si>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</si>
  <si>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</si>
  <si>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</si>
  <si>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</si>
  <si>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</si>
  <si>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</si>
  <si>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</si>
  <si>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</si>
  <si>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</si>
  <si>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</si>
  <si>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件/桶</t>
  </si>
  <si>
    <t>桶</t>
  </si>
  <si>
    <t>桶/托</t>
  </si>
  <si>
    <t>托</t>
  </si>
  <si>
    <t>尖头螺纹道钉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</si>
  <si>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</si>
  <si>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</si>
  <si>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</si>
  <si>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</si>
  <si>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</si>
  <si>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</si>
  <si>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</si>
  <si>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</si>
  <si>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</si>
  <si>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</si>
  <si>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</si>
  <si>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</si>
  <si>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</si>
  <si>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</si>
  <si>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</si>
  <si>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100磅铁桶+托盘
（免熏蒸材质）</t>
    <phoneticPr fontId="7" type="noConversion"/>
  </si>
  <si>
    <t>4、</t>
  </si>
  <si>
    <t>包装为100磅铁桶+托盘（免熏蒸材质），包装结实，适合多次转运。</t>
  </si>
  <si>
    <t>2026-5-25</t>
    <phoneticPr fontId="7" type="noConversion"/>
  </si>
  <si>
    <t>4 月  份  销  售  计  划  7</t>
    <phoneticPr fontId="7" type="noConversion"/>
  </si>
  <si>
    <t>15/16*6-1/2</t>
    <phoneticPr fontId="7" type="noConversion"/>
  </si>
  <si>
    <t>260420-1</t>
    <phoneticPr fontId="7" type="noConversion"/>
  </si>
  <si>
    <t>ZSTL-HQ2026040801</t>
    <phoneticPr fontId="7" type="noConversion"/>
  </si>
  <si>
    <t>SDL26420</t>
    <phoneticPr fontId="7" type="noConversion"/>
  </si>
  <si>
    <t>45#</t>
    <phoneticPr fontId="7" type="noConversion"/>
  </si>
  <si>
    <t>表面涂蜡</t>
    <phoneticPr fontId="7" type="noConversion"/>
  </si>
  <si>
    <t>15/16
04
26</t>
    <phoneticPr fontId="7" type="noConversion"/>
  </si>
  <si>
    <t>包装待定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</si>
</sst>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topLeftCell="A2" workbookViewId="0">
      <selection activeCell="B13" sqref="B13:V13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9.25" style="2" customWidth="1"/>
    <col min="21" max="21" width="7.25" style="2" customWidth="1"/>
    <col min="22" max="22" width="7.625" style="2" customWidth="1"/>
    <col min="23" max="16384" width="9" style="2"/>
  </cols>
  <sheetData>
    <row r="1" spans="1:22" ht="33" customHeight="1" x14ac:dyDescent="0.15">
      <c r="A1" s="31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1" customFormat="1" ht="21" customHeight="1" x14ac:dyDescent="0.15">
      <c r="B2" s="1" t="s">
        <v>0</v>
      </c>
      <c r="C2" s="14" t="s">
        <v>39</v>
      </c>
      <c r="G2" s="33" t="s">
        <v>1</v>
      </c>
      <c r="H2" s="33"/>
      <c r="N2" s="33" t="s">
        <v>2</v>
      </c>
      <c r="O2" s="33"/>
      <c r="T2" s="34" t="s">
        <v>3</v>
      </c>
      <c r="U2" s="35"/>
      <c r="V2" s="35"/>
    </row>
    <row r="3" spans="1:22" s="1" customFormat="1" ht="27" customHeight="1" x14ac:dyDescent="0.15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5" t="s">
        <v>40</v>
      </c>
      <c r="G3" s="3" t="s">
        <v>9</v>
      </c>
      <c r="H3" s="36" t="s">
        <v>10</v>
      </c>
      <c r="I3" s="37"/>
      <c r="J3" s="37"/>
      <c r="K3" s="26" t="s">
        <v>11</v>
      </c>
      <c r="L3" s="26"/>
      <c r="M3" s="26"/>
      <c r="N3" s="26"/>
      <c r="O3" s="26"/>
      <c r="P3" s="26"/>
      <c r="Q3" s="26" t="s">
        <v>12</v>
      </c>
      <c r="R3" s="26"/>
      <c r="S3" s="26" t="s">
        <v>13</v>
      </c>
      <c r="T3" s="26" t="s">
        <v>14</v>
      </c>
      <c r="U3" s="26" t="s">
        <v>15</v>
      </c>
      <c r="V3" s="26" t="s">
        <v>16</v>
      </c>
    </row>
    <row r="4" spans="1:22" s="1" customFormat="1" ht="27.75" customHeight="1" x14ac:dyDescent="0.15">
      <c r="A4" s="26"/>
      <c r="B4" s="26"/>
      <c r="C4" s="26"/>
      <c r="D4" s="26"/>
      <c r="E4" s="26"/>
      <c r="F4" s="26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21</v>
      </c>
      <c r="R4" s="3" t="s">
        <v>22</v>
      </c>
      <c r="S4" s="26"/>
      <c r="T4" s="26"/>
      <c r="U4" s="26"/>
      <c r="V4" s="26"/>
    </row>
    <row r="5" spans="1:22" s="1" customFormat="1" ht="68.25" customHeight="1" x14ac:dyDescent="0.15">
      <c r="A5" s="3">
        <v>1</v>
      </c>
      <c r="B5" s="3" t="s">
        <v>27</v>
      </c>
      <c r="C5" s="10" t="s">
        <v>48</v>
      </c>
      <c r="D5" s="9" t="s">
        <v>49</v>
      </c>
      <c r="E5" s="17" t="s">
        <v>50</v>
      </c>
      <c r="F5" s="10" t="s">
        <v>51</v>
      </c>
      <c r="G5" s="5">
        <v>0.62</v>
      </c>
      <c r="H5" s="10" t="s">
        <v>52</v>
      </c>
      <c r="I5" s="3" t="s">
        <v>28</v>
      </c>
      <c r="J5" s="15">
        <f>L5/0.92</f>
        <v>10.883695652173913</v>
      </c>
      <c r="K5" s="3">
        <v>16150</v>
      </c>
      <c r="L5" s="13">
        <f>K5*G5/1000</f>
        <v>10.013</v>
      </c>
      <c r="M5" s="3">
        <v>70</v>
      </c>
      <c r="N5" s="3">
        <v>231</v>
      </c>
      <c r="O5" s="3">
        <v>18</v>
      </c>
      <c r="P5" s="3">
        <v>13</v>
      </c>
      <c r="Q5" s="3">
        <v>16200</v>
      </c>
      <c r="R5" s="13">
        <f>Q5*G5/1000</f>
        <v>10.044</v>
      </c>
      <c r="S5" s="12" t="s">
        <v>46</v>
      </c>
      <c r="T5" s="17" t="s">
        <v>54</v>
      </c>
      <c r="U5" s="17" t="s">
        <v>53</v>
      </c>
      <c r="V5" s="17" t="s">
        <v>43</v>
      </c>
    </row>
    <row r="6" spans="1:22" s="1" customFormat="1" ht="16.5" customHeight="1" x14ac:dyDescent="0.15">
      <c r="A6" s="27" t="s">
        <v>29</v>
      </c>
      <c r="B6" s="28"/>
      <c r="C6" s="23"/>
      <c r="D6" s="23"/>
      <c r="E6" s="23"/>
      <c r="F6" s="23"/>
      <c r="G6" s="23"/>
      <c r="H6" s="23"/>
      <c r="I6" s="23"/>
      <c r="J6" s="11">
        <f>SUM(J5:J5)</f>
        <v>10.883695652173913</v>
      </c>
      <c r="K6" s="11">
        <f>SUM(K5:K5)</f>
        <v>16150</v>
      </c>
      <c r="L6" s="11">
        <f>SUM(L5:L5)</f>
        <v>10.013</v>
      </c>
      <c r="M6" s="4"/>
      <c r="N6" s="11">
        <f>SUM(N5:N5)</f>
        <v>231</v>
      </c>
      <c r="O6" s="4"/>
      <c r="P6" s="11">
        <f>SUM(P5:P5)</f>
        <v>13</v>
      </c>
      <c r="Q6" s="11">
        <f>SUM(Q5:Q5)</f>
        <v>16200</v>
      </c>
      <c r="R6" s="11">
        <f>SUM(R5:R5)</f>
        <v>10.044</v>
      </c>
      <c r="S6" s="4"/>
      <c r="T6" s="18" t="s">
        <v>42</v>
      </c>
      <c r="U6" s="4"/>
      <c r="V6" s="4"/>
    </row>
    <row r="7" spans="1:22" s="1" customFormat="1" ht="16.5" customHeight="1" x14ac:dyDescent="0.15">
      <c r="A7" s="29"/>
      <c r="B7" s="30"/>
      <c r="C7" s="24"/>
      <c r="D7" s="24"/>
      <c r="E7" s="24"/>
      <c r="F7" s="24"/>
      <c r="G7" s="24"/>
      <c r="H7" s="24"/>
      <c r="I7" s="24"/>
      <c r="J7" s="6" t="s">
        <v>22</v>
      </c>
      <c r="K7" s="16" t="s">
        <v>41</v>
      </c>
      <c r="L7" s="6" t="s">
        <v>22</v>
      </c>
      <c r="M7" s="6"/>
      <c r="N7" s="6" t="s">
        <v>24</v>
      </c>
      <c r="O7" s="6"/>
      <c r="P7" s="6" t="s">
        <v>26</v>
      </c>
      <c r="Q7" s="16" t="s">
        <v>41</v>
      </c>
      <c r="R7" s="7" t="s">
        <v>22</v>
      </c>
      <c r="S7" s="6"/>
      <c r="T7" s="19"/>
      <c r="U7" s="6"/>
      <c r="V7" s="6"/>
    </row>
    <row r="9" spans="1:22" s="1" customFormat="1" ht="19.5" customHeight="1" x14ac:dyDescent="0.15">
      <c r="B9" s="1" t="s">
        <v>30</v>
      </c>
      <c r="N9" s="38" t="s">
        <v>55</v>
      </c>
      <c r="Q9" s="14"/>
      <c r="R9" s="8"/>
    </row>
    <row r="10" spans="1:22" s="1" customFormat="1" ht="19.5" customHeight="1" x14ac:dyDescent="0.15">
      <c r="A10" s="1" t="s">
        <v>31</v>
      </c>
      <c r="B10" s="20" t="s">
        <v>32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s="1" customFormat="1" ht="19.5" customHeight="1" x14ac:dyDescent="0.15">
      <c r="B11" s="20" t="s">
        <v>33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s="1" customFormat="1" ht="19.5" customHeight="1" x14ac:dyDescent="0.15">
      <c r="A12" s="1" t="s">
        <v>34</v>
      </c>
      <c r="B12" s="20" t="s">
        <v>35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1" customFormat="1" ht="19.5" customHeight="1" x14ac:dyDescent="0.15">
      <c r="A13" s="1" t="s">
        <v>36</v>
      </c>
      <c r="B13" s="20" t="s">
        <v>37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s="14" customFormat="1" ht="19.5" customHeight="1" x14ac:dyDescent="0.15">
      <c r="A14" s="14" t="s">
        <v>44</v>
      </c>
      <c r="B14" s="22" t="s">
        <v>45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0.25" customHeight="1" x14ac:dyDescent="0.15">
      <c r="C15" s="20" t="s">
        <v>38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22" ht="22.5" x14ac:dyDescent="0.15">
      <c r="Q16" s="21">
        <v>46132</v>
      </c>
      <c r="R16" s="21"/>
      <c r="S16" s="21"/>
      <c r="T16" s="21"/>
      <c r="U16" s="21"/>
      <c r="V16" s="21"/>
    </row>
  </sheetData>
  <mergeCells count="33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F6:F7"/>
    <mergeCell ref="B10:V10"/>
    <mergeCell ref="G6:G7"/>
    <mergeCell ref="H6:H7"/>
    <mergeCell ref="I6:I7"/>
    <mergeCell ref="B3:B4"/>
    <mergeCell ref="C3:C4"/>
    <mergeCell ref="C6:C7"/>
    <mergeCell ref="D3:D4"/>
    <mergeCell ref="D6:D7"/>
    <mergeCell ref="A6:B7"/>
    <mergeCell ref="T6:T7"/>
    <mergeCell ref="B13:V13"/>
    <mergeCell ref="C15:M15"/>
    <mergeCell ref="Q16:V16"/>
    <mergeCell ref="B11:V11"/>
    <mergeCell ref="B12:V12"/>
    <mergeCell ref="B14:V14"/>
    <mergeCell ref="E6:E7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2025-05-07T03:13:06Z</cp:lastPrinted>
  <dcterms:created xsi:type="dcterms:W3CDTF">2006-09-13T11:21:00Z</dcterms:created>
  <dcterms:modified xsi:type="dcterms:W3CDTF">2026-04-20T06:13:36Z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