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17161196-6AFA-4DA0-9697-1DBC4C37F7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R12" i="1"/>
  <c r="Q12" i="1"/>
  <c r="O12" i="1"/>
  <c r="L12" i="1"/>
  <c r="R9" i="1"/>
  <c r="S9" i="1" s="1"/>
  <c r="L9" i="1"/>
  <c r="M9" i="1" s="1"/>
  <c r="R8" i="1"/>
  <c r="S8" i="1" s="1"/>
  <c r="L8" i="1"/>
  <c r="M8" i="1" s="1"/>
  <c r="R7" i="1"/>
  <c r="S7" i="1" s="1"/>
  <c r="L7" i="1"/>
  <c r="M7" i="1" s="1"/>
  <c r="S6" i="1"/>
  <c r="M6" i="1"/>
  <c r="K6" i="1" s="1"/>
  <c r="R11" i="1" l="1"/>
  <c r="S11" i="1" s="1"/>
  <c r="L11" i="1"/>
  <c r="M11" i="1" s="1"/>
  <c r="S10" i="1"/>
  <c r="M10" i="1"/>
  <c r="K10" i="1" s="1"/>
  <c r="K12" i="1" s="1"/>
  <c r="M12" i="1" l="1"/>
</calcChain>
</file>

<file path=xl/sharedStrings.xml><?xml version="1.0" encoding="utf-8"?>
<sst xmlns="http://schemas.openxmlformats.org/spreadsheetml/2006/main" count="98" uniqueCount="82">
  <si>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</si>
  <si>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</si>
  <si>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</si>
  <si>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</si>
  <si>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</si>
  <si>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</si>
  <si>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</si>
  <si>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</si>
  <si>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</si>
  <si>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</si>
  <si>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</si>
  <si>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</si>
  <si>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</si>
  <si>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</si>
  <si>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</si>
  <si>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</si>
  <si>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</si>
  <si>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</si>
  <si>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</si>
  <si>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</si>
  <si>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</si>
  <si>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</si>
  <si>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</si>
  <si>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</si>
  <si>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</si>
  <si>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</si>
  <si>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</si>
  <si>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</si>
  <si>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</si>
  <si>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</si>
  <si>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螺栓</t>
  </si>
  <si>
    <t>18 x 270</t>
  </si>
  <si>
    <t>241018-4</t>
  </si>
  <si>
    <t xml:space="preserve">TR3H20230823001/P202410180001 
</t>
  </si>
  <si>
    <t>10.9级</t>
  </si>
  <si>
    <t>TRSC23014</t>
  </si>
  <si>
    <t>40Cr</t>
  </si>
  <si>
    <t>Φ20</t>
  </si>
  <si>
    <t>10.9
HB</t>
  </si>
  <si>
    <t>热处理发黑</t>
  </si>
  <si>
    <t>编织袋+托盘</t>
  </si>
  <si>
    <t>螺母</t>
  </si>
  <si>
    <t>241018-5</t>
  </si>
  <si>
    <t>10级</t>
  </si>
  <si>
    <t>TRSC23013</t>
  </si>
  <si>
    <t>外购</t>
  </si>
  <si>
    <t>以上与螺栓装配</t>
  </si>
  <si>
    <t>平垫</t>
  </si>
  <si>
    <t>241018-6</t>
  </si>
  <si>
    <t>TRSC23003</t>
  </si>
  <si>
    <t>本色涂油</t>
  </si>
  <si>
    <t>双层
弹垫</t>
  </si>
  <si>
    <t>241018-7</t>
  </si>
  <si>
    <t>TRSC23004</t>
  </si>
  <si>
    <t>螺纹
道钉</t>
  </si>
  <si>
    <t>20 X 145</t>
  </si>
  <si>
    <t>241018-8</t>
  </si>
  <si>
    <t>4.6级</t>
  </si>
  <si>
    <t>TRSC23010</t>
  </si>
  <si>
    <t>Q235B</t>
  </si>
  <si>
    <t>Φ22</t>
  </si>
  <si>
    <t>KAI</t>
  </si>
  <si>
    <t>热镀锌</t>
  </si>
  <si>
    <t>弹簧
垫圈</t>
  </si>
  <si>
    <t>241018-9</t>
  </si>
  <si>
    <t>与以上道钉装配一起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</si>
  <si>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</si>
  <si>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</si>
  <si>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</si>
  <si>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</si>
  <si>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</si>
  <si>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</si>
  <si>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2、</t>
  </si>
  <si>
    <t>螺纹道钉螺纹部分经90°冷弯试验后不应折断，裂纹深度不大于0.75mm，防锈层和基材浅层允许有轻微的起皮、褶皱和裂纹。</t>
  </si>
  <si>
    <t>生产部门按生产工艺生产，加强自检，严格质量管理。技术要求及验收标准按《技术协议》规定执行，文件编号：TRJS230816001、TRJS230816002。</t>
  </si>
  <si>
    <t>3、</t>
  </si>
  <si>
    <t>品管部负责办理质量证明书，检测报告及相关数据。</t>
  </si>
  <si>
    <t>4、</t>
  </si>
  <si>
    <t>包装物是：编织袋+托盘。</t>
  </si>
  <si>
    <t>分发：总经理、总经办、品管部、生产部、技术部</t>
  </si>
  <si>
    <t>2026-7-10</t>
    <phoneticPr fontId="11" type="noConversion"/>
  </si>
  <si>
    <t>6  月  份  销  售  计  划  11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</si>
</sst>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0.000_ "/>
    <numFmt numFmtId="179" formatCode="0.0_ "/>
    <numFmt numFmtId="180" formatCode="0.00_ "/>
    <numFmt numFmtId="181" formatCode="0_ "/>
    <numFmt numFmtId="182" formatCode="[$-F800]dddd\,\ mmmm\ dd\,\ yyyy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9" fontId="3" fillId="0" borderId="2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179" fontId="5" fillId="0" borderId="2" xfId="0" applyNumberFormat="1" applyFont="1" applyBorder="1" applyAlignment="1">
      <alignment horizontal="center" vertical="center" wrapText="1"/>
    </xf>
    <xf numFmtId="179" fontId="5" fillId="0" borderId="3" xfId="0" applyNumberFormat="1" applyFont="1" applyBorder="1" applyAlignment="1">
      <alignment horizontal="center" wrapText="1"/>
    </xf>
    <xf numFmtId="181" fontId="5" fillId="0" borderId="3" xfId="0" applyNumberFormat="1" applyFont="1" applyBorder="1" applyAlignment="1">
      <alignment horizontal="center" wrapText="1"/>
    </xf>
    <xf numFmtId="180" fontId="5" fillId="0" borderId="3" xfId="0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80" fontId="1" fillId="0" borderId="14" xfId="0" applyNumberFormat="1" applyFont="1" applyBorder="1" applyAlignment="1">
      <alignment horizontal="center" vertical="center" wrapText="1"/>
    </xf>
    <xf numFmtId="180" fontId="1" fillId="0" borderId="15" xfId="0" applyNumberFormat="1" applyFont="1" applyBorder="1" applyAlignment="1">
      <alignment horizontal="center" vertical="center" wrapText="1"/>
    </xf>
    <xf numFmtId="180" fontId="1" fillId="0" borderId="5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82" fontId="10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  <xf numFmtId="49" fontId="7" fillId="3" borderId="6" xfId="0" applyNumberFormat="1" applyFont="1" applyFill="1" applyBorder="1" applyAlignment="1">
      <alignment horizontal="center" vertical="center" wrapText="1"/>
    </xf>
    <xf numFmtId="49" fontId="7" fillId="3" borderId="13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2"/>
  <sheetViews>
    <sheetView tabSelected="1" topLeftCell="A3" workbookViewId="0">
      <selection activeCell="T6" sqref="T6:T11"/>
    </sheetView>
  </sheetViews>
  <sheetFormatPr defaultColWidth="9" defaultRowHeight="13.5" x14ac:dyDescent="0.15"/>
  <cols>
    <col min="1" max="1" width="4.125" style="4" customWidth="1"/>
    <col min="2" max="2" width="7.5" style="4" customWidth="1"/>
    <col min="3" max="3" width="10.375" style="4" customWidth="1"/>
    <col min="4" max="4" width="6.125" style="4" customWidth="1"/>
    <col min="5" max="5" width="5.875" style="4" customWidth="1"/>
    <col min="6" max="6" width="6.5" style="4" customWidth="1"/>
    <col min="7" max="7" width="6.25" style="4" customWidth="1"/>
    <col min="8" max="8" width="7.125" style="4" customWidth="1"/>
    <col min="9" max="9" width="7" style="4" customWidth="1"/>
    <col min="10" max="10" width="5.25" style="4" customWidth="1"/>
    <col min="11" max="11" width="6.375" style="4" customWidth="1"/>
    <col min="12" max="12" width="8.125" style="4" customWidth="1"/>
    <col min="13" max="13" width="6" style="4" customWidth="1"/>
    <col min="14" max="14" width="4.75" style="4" customWidth="1"/>
    <col min="15" max="15" width="5.625" style="4" customWidth="1"/>
    <col min="16" max="16" width="4.625" style="4" customWidth="1"/>
    <col min="17" max="17" width="6.125" style="4" customWidth="1"/>
    <col min="18" max="18" width="6.625" style="4" customWidth="1"/>
    <col min="19" max="19" width="6.875" style="4" customWidth="1"/>
    <col min="20" max="20" width="5.125" style="4" customWidth="1"/>
    <col min="21" max="21" width="7.5" style="4" customWidth="1"/>
    <col min="22" max="22" width="7.25" style="4" customWidth="1"/>
    <col min="23" max="23" width="7.375" style="4" customWidth="1"/>
    <col min="24" max="16384" width="9" style="4"/>
  </cols>
  <sheetData>
    <row r="2" spans="1:23" ht="45" customHeight="1" x14ac:dyDescent="0.15">
      <c r="A2" s="29" t="s">
        <v>81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 spans="1:23" s="1" customFormat="1" ht="27.75" customHeight="1" x14ac:dyDescent="0.15">
      <c r="B3" s="1" t="s">
        <v>0</v>
      </c>
      <c r="C3" s="1" t="s">
        <v>1</v>
      </c>
      <c r="H3" s="30" t="s">
        <v>2</v>
      </c>
      <c r="I3" s="30"/>
      <c r="O3" s="30" t="s">
        <v>3</v>
      </c>
      <c r="P3" s="30"/>
      <c r="U3" s="31" t="s">
        <v>4</v>
      </c>
      <c r="V3" s="32"/>
      <c r="W3" s="32"/>
    </row>
    <row r="4" spans="1:23" s="1" customFormat="1" ht="27" customHeight="1" x14ac:dyDescent="0.15">
      <c r="A4" s="33" t="s">
        <v>5</v>
      </c>
      <c r="B4" s="33" t="s">
        <v>6</v>
      </c>
      <c r="C4" s="33" t="s">
        <v>7</v>
      </c>
      <c r="D4" s="33" t="s">
        <v>8</v>
      </c>
      <c r="E4" s="33" t="s">
        <v>9</v>
      </c>
      <c r="F4" s="33" t="s">
        <v>10</v>
      </c>
      <c r="G4" s="33" t="s">
        <v>11</v>
      </c>
      <c r="H4" s="5" t="s">
        <v>12</v>
      </c>
      <c r="I4" s="33" t="s">
        <v>13</v>
      </c>
      <c r="J4" s="33"/>
      <c r="K4" s="33"/>
      <c r="L4" s="33" t="s">
        <v>14</v>
      </c>
      <c r="M4" s="33"/>
      <c r="N4" s="33"/>
      <c r="O4" s="33"/>
      <c r="P4" s="33"/>
      <c r="Q4" s="33"/>
      <c r="R4" s="33" t="s">
        <v>15</v>
      </c>
      <c r="S4" s="33"/>
      <c r="T4" s="33" t="s">
        <v>16</v>
      </c>
      <c r="U4" s="33" t="s">
        <v>17</v>
      </c>
      <c r="V4" s="33" t="s">
        <v>18</v>
      </c>
      <c r="W4" s="33" t="s">
        <v>19</v>
      </c>
    </row>
    <row r="5" spans="1:23" s="1" customFormat="1" ht="27.75" customHeight="1" x14ac:dyDescent="0.15">
      <c r="A5" s="42"/>
      <c r="B5" s="33"/>
      <c r="C5" s="33"/>
      <c r="D5" s="33"/>
      <c r="E5" s="33"/>
      <c r="F5" s="33"/>
      <c r="G5" s="33"/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24</v>
      </c>
      <c r="S5" s="5" t="s">
        <v>25</v>
      </c>
      <c r="T5" s="33"/>
      <c r="U5" s="33"/>
      <c r="V5" s="33"/>
      <c r="W5" s="33"/>
    </row>
    <row r="6" spans="1:23" s="1" customFormat="1" ht="36" customHeight="1" x14ac:dyDescent="0.15">
      <c r="A6" s="6">
        <v>1</v>
      </c>
      <c r="B6" s="7" t="s">
        <v>30</v>
      </c>
      <c r="C6" s="5" t="s">
        <v>31</v>
      </c>
      <c r="D6" s="5" t="s">
        <v>32</v>
      </c>
      <c r="E6" s="42" t="s">
        <v>33</v>
      </c>
      <c r="F6" s="5" t="s">
        <v>34</v>
      </c>
      <c r="G6" s="8" t="s">
        <v>35</v>
      </c>
      <c r="H6" s="9">
        <v>0.63</v>
      </c>
      <c r="I6" s="5" t="s">
        <v>36</v>
      </c>
      <c r="J6" s="5" t="s">
        <v>37</v>
      </c>
      <c r="K6" s="19">
        <f>M6/0.9</f>
        <v>35</v>
      </c>
      <c r="L6" s="5">
        <v>50000</v>
      </c>
      <c r="M6" s="20">
        <f>H6*L6*0.001</f>
        <v>31.5</v>
      </c>
      <c r="N6" s="5">
        <v>20</v>
      </c>
      <c r="O6" s="5">
        <v>2500</v>
      </c>
      <c r="P6" s="5">
        <v>50</v>
      </c>
      <c r="Q6" s="5">
        <v>50</v>
      </c>
      <c r="R6" s="5">
        <v>50100</v>
      </c>
      <c r="S6" s="20">
        <f>H6*R6*0.001</f>
        <v>31.563000000000002</v>
      </c>
      <c r="T6" s="52" t="s">
        <v>80</v>
      </c>
      <c r="U6" s="25" t="s">
        <v>38</v>
      </c>
      <c r="V6" s="5" t="s">
        <v>39</v>
      </c>
      <c r="W6" s="47" t="s">
        <v>40</v>
      </c>
    </row>
    <row r="7" spans="1:23" s="1" customFormat="1" ht="36" customHeight="1" x14ac:dyDescent="0.15">
      <c r="A7" s="10">
        <v>2</v>
      </c>
      <c r="B7" s="7" t="s">
        <v>41</v>
      </c>
      <c r="C7" s="5">
        <v>18</v>
      </c>
      <c r="D7" s="5" t="s">
        <v>42</v>
      </c>
      <c r="E7" s="43"/>
      <c r="F7" s="11" t="s">
        <v>43</v>
      </c>
      <c r="G7" s="8" t="s">
        <v>44</v>
      </c>
      <c r="H7" s="9">
        <v>0.1</v>
      </c>
      <c r="I7" s="34" t="s">
        <v>45</v>
      </c>
      <c r="J7" s="35"/>
      <c r="K7" s="36"/>
      <c r="L7" s="5">
        <f>L6</f>
        <v>50000</v>
      </c>
      <c r="M7" s="20">
        <f>H7*L7*0.001</f>
        <v>5</v>
      </c>
      <c r="N7" s="37" t="s">
        <v>46</v>
      </c>
      <c r="O7" s="38"/>
      <c r="P7" s="38"/>
      <c r="Q7" s="39"/>
      <c r="R7" s="5">
        <f>R6</f>
        <v>50100</v>
      </c>
      <c r="S7" s="20">
        <f>H7*R7*0.001</f>
        <v>5.01</v>
      </c>
      <c r="T7" s="53"/>
      <c r="U7" s="26"/>
      <c r="V7" s="5" t="s">
        <v>39</v>
      </c>
      <c r="W7" s="47"/>
    </row>
    <row r="8" spans="1:23" s="1" customFormat="1" ht="36" customHeight="1" x14ac:dyDescent="0.15">
      <c r="A8" s="10">
        <v>3</v>
      </c>
      <c r="B8" s="7" t="s">
        <v>47</v>
      </c>
      <c r="C8" s="5">
        <v>22</v>
      </c>
      <c r="D8" s="5" t="s">
        <v>48</v>
      </c>
      <c r="E8" s="43"/>
      <c r="F8" s="11"/>
      <c r="G8" s="8" t="s">
        <v>49</v>
      </c>
      <c r="H8" s="9">
        <v>0.04</v>
      </c>
      <c r="I8" s="34" t="s">
        <v>45</v>
      </c>
      <c r="J8" s="35"/>
      <c r="K8" s="36"/>
      <c r="L8" s="5">
        <f>L6</f>
        <v>50000</v>
      </c>
      <c r="M8" s="20">
        <f>H8*L8*0.001</f>
        <v>2</v>
      </c>
      <c r="N8" s="37" t="s">
        <v>46</v>
      </c>
      <c r="O8" s="38"/>
      <c r="P8" s="38"/>
      <c r="Q8" s="39"/>
      <c r="R8" s="5">
        <f>R6</f>
        <v>50100</v>
      </c>
      <c r="S8" s="20">
        <f>H8*R8*0.001</f>
        <v>2.004</v>
      </c>
      <c r="T8" s="53"/>
      <c r="U8" s="26"/>
      <c r="V8" s="5" t="s">
        <v>50</v>
      </c>
      <c r="W8" s="47"/>
    </row>
    <row r="9" spans="1:23" s="1" customFormat="1" ht="36" customHeight="1" x14ac:dyDescent="0.15">
      <c r="A9" s="12">
        <v>4</v>
      </c>
      <c r="B9" s="7" t="s">
        <v>51</v>
      </c>
      <c r="C9" s="5">
        <v>22</v>
      </c>
      <c r="D9" s="5" t="s">
        <v>52</v>
      </c>
      <c r="E9" s="43"/>
      <c r="F9" s="5"/>
      <c r="G9" s="13" t="s">
        <v>53</v>
      </c>
      <c r="H9" s="5">
        <v>9.1999999999999998E-2</v>
      </c>
      <c r="I9" s="34" t="s">
        <v>45</v>
      </c>
      <c r="J9" s="35"/>
      <c r="K9" s="36"/>
      <c r="L9" s="5">
        <f>L6</f>
        <v>50000</v>
      </c>
      <c r="M9" s="20">
        <f>H9*L9*0.001</f>
        <v>4.6000000000000005</v>
      </c>
      <c r="N9" s="37" t="s">
        <v>46</v>
      </c>
      <c r="O9" s="38"/>
      <c r="P9" s="38"/>
      <c r="Q9" s="39"/>
      <c r="R9" s="5">
        <f>R6</f>
        <v>50100</v>
      </c>
      <c r="S9" s="20">
        <f>H9*R9*0.001</f>
        <v>4.6091999999999995</v>
      </c>
      <c r="T9" s="53"/>
      <c r="U9" s="26"/>
      <c r="V9" s="5" t="s">
        <v>39</v>
      </c>
      <c r="W9" s="47"/>
    </row>
    <row r="10" spans="1:23" s="1" customFormat="1" ht="36" customHeight="1" x14ac:dyDescent="0.15">
      <c r="A10" s="6">
        <v>5</v>
      </c>
      <c r="B10" s="7" t="s">
        <v>54</v>
      </c>
      <c r="C10" s="5" t="s">
        <v>55</v>
      </c>
      <c r="D10" s="5" t="s">
        <v>56</v>
      </c>
      <c r="E10" s="43"/>
      <c r="F10" s="5" t="s">
        <v>57</v>
      </c>
      <c r="G10" s="8" t="s">
        <v>58</v>
      </c>
      <c r="H10" s="5">
        <v>0.43</v>
      </c>
      <c r="I10" s="5" t="s">
        <v>59</v>
      </c>
      <c r="J10" s="5" t="s">
        <v>60</v>
      </c>
      <c r="K10" s="21">
        <f>M10/0.88</f>
        <v>44.664784090909095</v>
      </c>
      <c r="L10" s="5">
        <v>91407</v>
      </c>
      <c r="M10" s="20">
        <f>L10*H10/1000</f>
        <v>39.305010000000003</v>
      </c>
      <c r="N10" s="5">
        <v>40</v>
      </c>
      <c r="O10" s="5">
        <v>2286</v>
      </c>
      <c r="P10" s="5">
        <v>40</v>
      </c>
      <c r="Q10" s="5">
        <v>58</v>
      </c>
      <c r="R10" s="5">
        <v>91500</v>
      </c>
      <c r="S10" s="20">
        <f>R10*H10/1000</f>
        <v>39.344999999999999</v>
      </c>
      <c r="T10" s="53"/>
      <c r="U10" s="5" t="s">
        <v>61</v>
      </c>
      <c r="V10" s="42" t="s">
        <v>62</v>
      </c>
      <c r="W10" s="47"/>
    </row>
    <row r="11" spans="1:23" s="1" customFormat="1" ht="36" customHeight="1" x14ac:dyDescent="0.15">
      <c r="A11" s="12">
        <v>6</v>
      </c>
      <c r="B11" s="7" t="s">
        <v>63</v>
      </c>
      <c r="C11" s="5">
        <v>23</v>
      </c>
      <c r="D11" s="5" t="s">
        <v>64</v>
      </c>
      <c r="E11" s="46"/>
      <c r="F11" s="5"/>
      <c r="G11" s="13" t="s">
        <v>53</v>
      </c>
      <c r="H11" s="5">
        <v>0.08</v>
      </c>
      <c r="I11" s="34" t="s">
        <v>45</v>
      </c>
      <c r="J11" s="35"/>
      <c r="K11" s="36"/>
      <c r="L11" s="5">
        <f>L10</f>
        <v>91407</v>
      </c>
      <c r="M11" s="20">
        <f t="shared" ref="M11" si="0">L11*H11/1000</f>
        <v>7.3125600000000004</v>
      </c>
      <c r="N11" s="37" t="s">
        <v>65</v>
      </c>
      <c r="O11" s="38"/>
      <c r="P11" s="38"/>
      <c r="Q11" s="39"/>
      <c r="R11" s="5">
        <f>R10</f>
        <v>91500</v>
      </c>
      <c r="S11" s="20">
        <f>R11*H11/1000</f>
        <v>7.32</v>
      </c>
      <c r="T11" s="54"/>
      <c r="U11" s="27"/>
      <c r="V11" s="46"/>
      <c r="W11" s="47"/>
    </row>
    <row r="12" spans="1:23" s="2" customFormat="1" ht="21" customHeight="1" x14ac:dyDescent="0.15">
      <c r="A12" s="48" t="s">
        <v>66</v>
      </c>
      <c r="B12" s="49"/>
      <c r="C12" s="14"/>
      <c r="D12" s="14"/>
      <c r="E12" s="14"/>
      <c r="F12" s="15"/>
      <c r="G12" s="14"/>
      <c r="H12" s="14"/>
      <c r="I12" s="14"/>
      <c r="J12" s="14"/>
      <c r="K12" s="22">
        <f>K6+K10</f>
        <v>79.664784090909095</v>
      </c>
      <c r="L12" s="23">
        <f>L6+L10</f>
        <v>141407</v>
      </c>
      <c r="M12" s="22">
        <f>SUM(M6:M11)</f>
        <v>89.717570000000009</v>
      </c>
      <c r="N12" s="24"/>
      <c r="O12" s="23">
        <f>O6+O10</f>
        <v>4786</v>
      </c>
      <c r="P12" s="24"/>
      <c r="Q12" s="23">
        <f>Q6+Q10</f>
        <v>108</v>
      </c>
      <c r="R12" s="23">
        <f>R6+R10</f>
        <v>141600</v>
      </c>
      <c r="S12" s="22">
        <f>SUM(S6:S11)</f>
        <v>89.851200000000006</v>
      </c>
      <c r="T12" s="28"/>
      <c r="U12" s="44" t="s">
        <v>67</v>
      </c>
      <c r="V12" s="28"/>
      <c r="W12" s="28"/>
    </row>
    <row r="13" spans="1:23" s="3" customFormat="1" ht="21" customHeight="1" x14ac:dyDescent="0.15">
      <c r="A13" s="50"/>
      <c r="B13" s="51"/>
      <c r="C13" s="16"/>
      <c r="D13" s="16"/>
      <c r="E13" s="16"/>
      <c r="F13" s="16"/>
      <c r="G13" s="16"/>
      <c r="H13" s="16"/>
      <c r="I13" s="16"/>
      <c r="J13" s="16"/>
      <c r="K13" s="16" t="s">
        <v>25</v>
      </c>
      <c r="L13" s="16" t="s">
        <v>68</v>
      </c>
      <c r="M13" s="16" t="s">
        <v>25</v>
      </c>
      <c r="N13" s="16"/>
      <c r="O13" s="16" t="s">
        <v>27</v>
      </c>
      <c r="P13" s="16"/>
      <c r="Q13" s="16" t="s">
        <v>29</v>
      </c>
      <c r="R13" s="16" t="s">
        <v>68</v>
      </c>
      <c r="S13" s="16" t="s">
        <v>25</v>
      </c>
      <c r="T13" s="16"/>
      <c r="U13" s="45"/>
      <c r="V13" s="16"/>
      <c r="W13" s="16"/>
    </row>
    <row r="15" spans="1:23" s="1" customFormat="1" ht="19.5" customHeight="1" x14ac:dyDescent="0.15">
      <c r="B15" s="1" t="s">
        <v>69</v>
      </c>
    </row>
    <row r="16" spans="1:23" s="1" customFormat="1" ht="19.5" customHeight="1" x14ac:dyDescent="0.15">
      <c r="A16" s="1" t="s">
        <v>70</v>
      </c>
      <c r="B16" s="40" t="s">
        <v>71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</row>
    <row r="17" spans="1:23" s="1" customFormat="1" ht="19.5" customHeight="1" x14ac:dyDescent="0.15">
      <c r="A17" s="1" t="s">
        <v>72</v>
      </c>
      <c r="B17" s="40" t="s">
        <v>73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</row>
    <row r="18" spans="1:23" s="1" customFormat="1" ht="19.5" customHeight="1" x14ac:dyDescent="0.15">
      <c r="B18" s="40" t="s">
        <v>74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</row>
    <row r="19" spans="1:23" s="1" customFormat="1" ht="19.5" customHeight="1" x14ac:dyDescent="0.15">
      <c r="A19" s="1" t="s">
        <v>75</v>
      </c>
      <c r="B19" s="40" t="s">
        <v>76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</row>
    <row r="20" spans="1:23" s="1" customFormat="1" ht="19.5" customHeight="1" x14ac:dyDescent="0.15">
      <c r="A20" s="1" t="s">
        <v>77</v>
      </c>
      <c r="B20" s="18" t="s">
        <v>78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spans="1:23" ht="23.25" customHeight="1" x14ac:dyDescent="0.15">
      <c r="T21" s="41">
        <v>46183</v>
      </c>
      <c r="U21" s="41"/>
      <c r="V21" s="41"/>
      <c r="W21" s="41"/>
    </row>
    <row r="22" spans="1:23" ht="20.25" customHeight="1" x14ac:dyDescent="0.15">
      <c r="C22" s="40" t="s">
        <v>79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</sheetData>
  <mergeCells count="38">
    <mergeCell ref="W6:W11"/>
    <mergeCell ref="A12:B13"/>
    <mergeCell ref="T6:T11"/>
    <mergeCell ref="U4:U5"/>
    <mergeCell ref="U12:U13"/>
    <mergeCell ref="V4:V5"/>
    <mergeCell ref="V10:V11"/>
    <mergeCell ref="C22:N22"/>
    <mergeCell ref="A4:A5"/>
    <mergeCell ref="B4:B5"/>
    <mergeCell ref="C4:C5"/>
    <mergeCell ref="D4:D5"/>
    <mergeCell ref="E4:E5"/>
    <mergeCell ref="E6:E11"/>
    <mergeCell ref="F4:F5"/>
    <mergeCell ref="G4:G5"/>
    <mergeCell ref="B16:W16"/>
    <mergeCell ref="B17:W17"/>
    <mergeCell ref="B18:W18"/>
    <mergeCell ref="B19:W19"/>
    <mergeCell ref="T21:W21"/>
    <mergeCell ref="I11:K11"/>
    <mergeCell ref="N11:Q11"/>
    <mergeCell ref="I7:K7"/>
    <mergeCell ref="N7:Q7"/>
    <mergeCell ref="I8:K8"/>
    <mergeCell ref="N8:Q8"/>
    <mergeCell ref="I9:K9"/>
    <mergeCell ref="N9:Q9"/>
    <mergeCell ref="A2:W2"/>
    <mergeCell ref="H3:I3"/>
    <mergeCell ref="O3:P3"/>
    <mergeCell ref="U3:W3"/>
    <mergeCell ref="I4:K4"/>
    <mergeCell ref="L4:Q4"/>
    <mergeCell ref="R4:S4"/>
    <mergeCell ref="T4:T5"/>
    <mergeCell ref="W4:W5"/>
  </mergeCells>
  <phoneticPr fontId="11" type="noConversion"/>
  <pageMargins left="0.70069444444444495" right="0.70069444444444495" top="0.16111111111111101" bottom="0.16111111111111101" header="0.29861111111111099" footer="0.29861111111111099"/>
  <pageSetup paperSize="9" scale="83" orientation="landscape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2026-06-10T06:55:07Z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15D52DE1D9954D82BB0F8236EB88EE18_13</vt:lpwstr>
  </property>
  <property fmtid="{D5CDD505-2E9C-101B-9397-08002B2CF9AE}" pid="3" name="KSOProductBuildVer">
    <vt:lpwstr>2052-12.1.0.18276</vt:lpwstr>
  </property>
</Properties>
</file>