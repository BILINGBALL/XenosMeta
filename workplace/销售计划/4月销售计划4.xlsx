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83837BF7-A83D-46D8-B24B-923F4D4370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S7" i="1"/>
  <c r="S8" i="1" s="1"/>
  <c r="M7" i="1"/>
  <c r="K7" i="1" s="1"/>
  <c r="M8" i="1" l="1"/>
  <c r="K8" i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<sst xmlns="http://schemas.openxmlformats.org/spreadsheetml/2006/main" count="55" uniqueCount="53">
  <si>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</si>
  <si>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</si>
  <si>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</si>
  <si>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</si>
  <si>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</si>
  <si>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</si>
  <si>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</si>
  <si>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</si>
  <si>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</si>
  <si>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</si>
  <si>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</si>
  <si>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</si>
  <si>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</si>
  <si>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</si>
  <si>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</si>
  <si>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</si>
  <si>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</si>
  <si>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</si>
  <si>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</si>
  <si>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</si>
  <si>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</si>
  <si>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</si>
  <si>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</si>
  <si>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</si>
  <si>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</si>
  <si>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</si>
  <si>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</si>
  <si>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</si>
  <si>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</si>
  <si>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</si>
  <si>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35K</t>
  </si>
  <si>
    <t>编织袋+欧式木箱（熏蒸）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</si>
  <si>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</si>
  <si>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</si>
  <si>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</si>
  <si>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</si>
  <si>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</si>
  <si>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</si>
  <si>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</si>
  <si>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</si>
  <si>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</si>
  <si>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包装物为编织袋加欧式木箱（ISPM15熏蒸标准）。 </t>
  </si>
  <si>
    <t>分发：总经理、总经办、品管部、生产部</t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</si>
  <si>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</si>
  <si>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t>23*135</t>
    <phoneticPr fontId="10" type="noConversion"/>
  </si>
  <si>
    <r>
      <t>热镀锌≥50</t>
    </r>
    <r>
      <rPr>
        <b/>
        <sz val="10"/>
        <color theme="1"/>
        <rFont val="Calibri"/>
        <family val="3"/>
        <charset val="161"/>
      </rPr>
      <t>μ</t>
    </r>
    <r>
      <rPr>
        <b/>
        <sz val="10"/>
        <color theme="1"/>
        <rFont val="宋体"/>
        <family val="3"/>
        <charset val="134"/>
        <scheme val="minor"/>
      </rPr>
      <t>m</t>
    </r>
    <phoneticPr fontId="10" type="noConversion"/>
  </si>
  <si>
    <t>E225/23FV</t>
    <phoneticPr fontId="10" type="noConversion"/>
  </si>
  <si>
    <r>
      <t xml:space="preserve">SDL
</t>
    </r>
    <r>
      <rPr>
        <b/>
        <sz val="12"/>
        <color theme="1"/>
        <rFont val="宋体"/>
        <family val="3"/>
        <charset val="134"/>
        <scheme val="minor"/>
      </rPr>
      <t>3V</t>
    </r>
    <r>
      <rPr>
        <sz val="9"/>
        <color theme="1"/>
        <rFont val="宋体"/>
        <family val="3"/>
        <charset val="134"/>
        <scheme val="minor"/>
      </rPr>
      <t xml:space="preserve">
26
N9</t>
    </r>
    <phoneticPr fontId="10" type="noConversion"/>
  </si>
  <si>
    <t>NF F 50-006</t>
    <phoneticPr fontId="15" type="noConversion"/>
  </si>
  <si>
    <t>4 月  份  销  售  计  划  4</t>
    <phoneticPr fontId="10" type="noConversion"/>
  </si>
  <si>
    <t>260413-1</t>
    <phoneticPr fontId="10" type="noConversion"/>
  </si>
  <si>
    <t>CA2602128</t>
    <phoneticPr fontId="10" type="noConversion"/>
  </si>
  <si>
    <t>2026-6-1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</si>
</sst>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0"/>
      <color theme="1"/>
      <name val="Calibri"/>
      <family val="3"/>
      <charset val="161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5" workbookViewId="0">
      <selection activeCell="S8" sqref="S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5" t="s">
        <v>49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4" spans="1:23" s="1" customFormat="1" ht="27.75" customHeight="1" x14ac:dyDescent="0.15">
      <c r="A4" s="26" t="s">
        <v>0</v>
      </c>
      <c r="B4" s="26"/>
      <c r="C4" s="1" t="s">
        <v>1</v>
      </c>
      <c r="H4" s="26" t="s">
        <v>2</v>
      </c>
      <c r="I4" s="26"/>
      <c r="O4" s="26" t="s">
        <v>3</v>
      </c>
      <c r="P4" s="26"/>
      <c r="U4" s="27"/>
      <c r="V4" s="28"/>
      <c r="W4" s="28"/>
    </row>
    <row r="5" spans="1:23" s="1" customFormat="1" ht="27" customHeight="1" x14ac:dyDescent="0.15">
      <c r="A5" s="19" t="s">
        <v>4</v>
      </c>
      <c r="B5" s="19" t="s">
        <v>5</v>
      </c>
      <c r="C5" s="19" t="s">
        <v>6</v>
      </c>
      <c r="D5" s="19" t="s">
        <v>7</v>
      </c>
      <c r="E5" s="19" t="s">
        <v>8</v>
      </c>
      <c r="F5" s="19" t="s">
        <v>9</v>
      </c>
      <c r="G5" s="19" t="s">
        <v>10</v>
      </c>
      <c r="H5" s="3" t="s">
        <v>11</v>
      </c>
      <c r="I5" s="21" t="s">
        <v>12</v>
      </c>
      <c r="J5" s="22"/>
      <c r="K5" s="22"/>
      <c r="L5" s="19" t="s">
        <v>13</v>
      </c>
      <c r="M5" s="19"/>
      <c r="N5" s="19"/>
      <c r="O5" s="19"/>
      <c r="P5" s="19"/>
      <c r="Q5" s="19"/>
      <c r="R5" s="19" t="s">
        <v>14</v>
      </c>
      <c r="S5" s="19"/>
      <c r="T5" s="19" t="s">
        <v>15</v>
      </c>
      <c r="U5" s="19" t="s">
        <v>16</v>
      </c>
      <c r="V5" s="19" t="s">
        <v>17</v>
      </c>
      <c r="W5" s="19" t="s">
        <v>18</v>
      </c>
    </row>
    <row r="6" spans="1:23" s="1" customFormat="1" ht="27.75" customHeight="1" x14ac:dyDescent="0.15">
      <c r="A6" s="19"/>
      <c r="B6" s="19"/>
      <c r="C6" s="19"/>
      <c r="D6" s="19"/>
      <c r="E6" s="19"/>
      <c r="F6" s="19"/>
      <c r="G6" s="19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9"/>
      <c r="U6" s="19"/>
      <c r="V6" s="19"/>
      <c r="W6" s="19"/>
    </row>
    <row r="7" spans="1:23" s="1" customFormat="1" ht="66" customHeight="1" x14ac:dyDescent="0.15">
      <c r="A7" s="4">
        <v>1</v>
      </c>
      <c r="B7" s="3" t="s">
        <v>29</v>
      </c>
      <c r="C7" s="3" t="s">
        <v>44</v>
      </c>
      <c r="D7" s="3" t="s">
        <v>50</v>
      </c>
      <c r="E7" s="4" t="s">
        <v>51</v>
      </c>
      <c r="F7" s="15" t="s">
        <v>48</v>
      </c>
      <c r="G7" s="3" t="s">
        <v>46</v>
      </c>
      <c r="H7" s="3">
        <v>0.55000000000000004</v>
      </c>
      <c r="I7" s="6" t="s">
        <v>30</v>
      </c>
      <c r="J7" s="13" t="s">
        <v>43</v>
      </c>
      <c r="K7" s="7">
        <f>M7/0.92</f>
        <v>11.279782608695653</v>
      </c>
      <c r="L7" s="3">
        <v>18868</v>
      </c>
      <c r="M7" s="8">
        <f>L7*H7/1000</f>
        <v>10.377400000000002</v>
      </c>
      <c r="N7" s="3">
        <v>40</v>
      </c>
      <c r="O7" s="3">
        <v>472</v>
      </c>
      <c r="P7" s="3">
        <v>30</v>
      </c>
      <c r="Q7" s="3">
        <v>16</v>
      </c>
      <c r="R7" s="3">
        <v>19000</v>
      </c>
      <c r="S7" s="8">
        <f>R7*H7/1000</f>
        <v>10.45</v>
      </c>
      <c r="T7" s="16" t="s">
        <v>52</v>
      </c>
      <c r="U7" s="5" t="s">
        <v>47</v>
      </c>
      <c r="V7" s="14" t="s">
        <v>45</v>
      </c>
      <c r="W7" s="5" t="s">
        <v>31</v>
      </c>
    </row>
    <row r="8" spans="1:23" s="1" customFormat="1" ht="42" customHeight="1" x14ac:dyDescent="0.15">
      <c r="A8" s="21" t="s">
        <v>32</v>
      </c>
      <c r="B8" s="22"/>
      <c r="C8" s="22"/>
      <c r="D8" s="22"/>
      <c r="E8" s="22"/>
      <c r="F8" s="22"/>
      <c r="G8" s="23"/>
      <c r="H8" s="3"/>
      <c r="I8" s="3"/>
      <c r="J8" s="3"/>
      <c r="K8" s="8">
        <f>SUM(K7:K7)</f>
        <v>11.279782608695653</v>
      </c>
      <c r="L8" s="9">
        <f>SUM(L7:L7)</f>
        <v>18868</v>
      </c>
      <c r="M8" s="8">
        <f>SUM(M7:M7)</f>
        <v>10.377400000000002</v>
      </c>
      <c r="N8" s="3"/>
      <c r="O8" s="9">
        <f>SUM(O7:O7)</f>
        <v>472</v>
      </c>
      <c r="P8" s="3"/>
      <c r="Q8" s="9">
        <f>SUM(Q7:Q7)</f>
        <v>16</v>
      </c>
      <c r="R8" s="9">
        <f>SUM(R7:R7)</f>
        <v>19000</v>
      </c>
      <c r="S8" s="8">
        <f>SUM(S7:S7)</f>
        <v>10.45</v>
      </c>
      <c r="T8" s="11"/>
      <c r="U8" s="3" t="s">
        <v>33</v>
      </c>
      <c r="V8" s="3"/>
      <c r="W8" s="5"/>
    </row>
    <row r="9" spans="1:23" ht="29.25" customHeight="1" x14ac:dyDescent="0.15">
      <c r="R9" s="12" t="s">
        <v>34</v>
      </c>
      <c r="U9" s="24"/>
      <c r="V9" s="24"/>
    </row>
    <row r="10" spans="1:23" s="1" customFormat="1" ht="19.5" customHeight="1" x14ac:dyDescent="0.15">
      <c r="B10" s="1" t="s">
        <v>35</v>
      </c>
      <c r="O10" s="10"/>
      <c r="S10"/>
      <c r="U10" s="24"/>
      <c r="V10" s="24"/>
    </row>
    <row r="11" spans="1:23" s="1" customFormat="1" ht="19.5" customHeight="1" x14ac:dyDescent="0.15">
      <c r="A11" s="1" t="s">
        <v>36</v>
      </c>
      <c r="B11" s="17" t="s">
        <v>37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s="1" customFormat="1" ht="19.5" customHeight="1" x14ac:dyDescent="0.15">
      <c r="A12" s="1" t="s">
        <v>38</v>
      </c>
      <c r="B12" s="17" t="s">
        <v>39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s="1" customFormat="1" ht="19.5" customHeight="1" x14ac:dyDescent="0.15">
      <c r="A13" s="1" t="s">
        <v>40</v>
      </c>
      <c r="B13" s="17" t="s">
        <v>41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ht="42" customHeight="1" x14ac:dyDescent="0.15"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0.25" customHeight="1" x14ac:dyDescent="0.15">
      <c r="C15" s="17" t="s">
        <v>42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20"/>
      <c r="P15" s="20"/>
      <c r="Q15" s="20"/>
      <c r="R15" s="20"/>
      <c r="S15" s="20"/>
      <c r="T15" s="20"/>
      <c r="U15" s="20"/>
      <c r="V15" s="20"/>
      <c r="W15" s="20"/>
    </row>
    <row r="16" spans="1:23" x14ac:dyDescent="0.15">
      <c r="Q16" s="18">
        <v>46125</v>
      </c>
      <c r="R16" s="18"/>
      <c r="S16" s="18"/>
      <c r="T16" s="18"/>
    </row>
  </sheetData>
  <mergeCells count="27">
    <mergeCell ref="A2:W2"/>
    <mergeCell ref="A4:B4"/>
    <mergeCell ref="H4:I4"/>
    <mergeCell ref="O4:P4"/>
    <mergeCell ref="U4:W4"/>
    <mergeCell ref="I5:K5"/>
    <mergeCell ref="L5:Q5"/>
    <mergeCell ref="R5:S5"/>
    <mergeCell ref="A8:G8"/>
    <mergeCell ref="B11:W11"/>
    <mergeCell ref="U9:V10"/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</mergeCells>
  <phoneticPr fontId="10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2026-04-13T03:25:23Z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