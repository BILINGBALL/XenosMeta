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4A7D9FB8-AE91-4910-B41B-CEDE8F7CD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Q9" i="1"/>
  <c r="O9" i="1"/>
  <c r="L9" i="1"/>
  <c r="S7" i="1"/>
  <c r="M7" i="1"/>
  <c r="K7" i="1"/>
  <c r="S8" i="1"/>
  <c r="M8" i="1"/>
  <c r="K8" i="1"/>
  <c r="K9" i="1" s="1"/>
  <c r="S9" i="1" l="1"/>
  <c r="M9" i="1"/>
</calcChain>
</file>

<file path=xl/sharedStrings.xml><?xml version="1.0" encoding="utf-8"?>
<sst xmlns="http://schemas.openxmlformats.org/spreadsheetml/2006/main" count="75" uniqueCount="59">
  <si>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</si>
  <si>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</si>
  <si>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</si>
  <si>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</si>
  <si>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</si>
  <si>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</si>
  <si>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</si>
  <si>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</si>
  <si>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</si>
  <si>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</si>
  <si>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</si>
  <si>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</si>
  <si>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</si>
  <si>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</si>
  <si>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</si>
  <si>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</si>
  <si>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</si>
  <si>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</si>
  <si>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</si>
  <si>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</si>
  <si>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</si>
  <si>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</si>
  <si>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</si>
  <si>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</si>
  <si>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</si>
  <si>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</si>
  <si>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</si>
  <si>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</si>
  <si>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</si>
  <si>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T型
螺栓</t>
  </si>
  <si>
    <t>M22X45-35</t>
  </si>
  <si>
    <t>5.6级</t>
  </si>
  <si>
    <t>E227/10</t>
  </si>
  <si>
    <t>35K</t>
  </si>
  <si>
    <t>Φ22</t>
  </si>
  <si>
    <t>编织袋+欧式托盘</t>
  </si>
  <si>
    <t>合计</t>
  </si>
  <si>
    <t>详见
图纸</t>
  </si>
  <si>
    <t>托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</si>
  <si>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</si>
  <si>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</si>
  <si>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</si>
  <si>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</si>
  <si>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</si>
  <si>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</si>
  <si>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</si>
  <si>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</si>
  <si>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</si>
  <si>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 xml:space="preserve">包装物为编织袋加欧式托盘。 </t>
  </si>
  <si>
    <t>分发：总经理、总经办、品管部、生产部</t>
  </si>
  <si>
    <t>3 月  份  销  售  计  划  4</t>
    <phoneticPr fontId="11" type="noConversion"/>
  </si>
  <si>
    <t>260309-2</t>
    <phoneticPr fontId="11" type="noConversion"/>
  </si>
  <si>
    <t xml:space="preserve">PC26-00485
</t>
    <phoneticPr fontId="11" type="noConversion"/>
  </si>
  <si>
    <t>2026-4-10</t>
    <phoneticPr fontId="11" type="noConversion"/>
  </si>
  <si>
    <t>SDL
26</t>
    <phoneticPr fontId="11" type="noConversion"/>
  </si>
  <si>
    <t>涂层要满足200小时盐雾</t>
    <phoneticPr fontId="11" type="noConversion"/>
  </si>
  <si>
    <t>空运</t>
    <phoneticPr fontId="11" type="noConversion"/>
  </si>
  <si>
    <t>海运</t>
    <phoneticPr fontId="11" type="noConversion"/>
  </si>
  <si>
    <t>电镀黄锌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</si>
</sst>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_ "/>
    <numFmt numFmtId="178" formatCode="0.0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178" fontId="3" fillId="0" borderId="3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20"/>
  <sheetViews>
    <sheetView tabSelected="1" topLeftCell="A4" workbookViewId="0">
      <selection activeCell="F8" sqref="F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8.87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8.375" style="2" customWidth="1"/>
    <col min="9" max="11" width="5.625" style="2" customWidth="1"/>
    <col min="12" max="12" width="6.5" style="2" customWidth="1"/>
    <col min="13" max="13" width="7.25" style="2" customWidth="1"/>
    <col min="14" max="14" width="4" style="2" customWidth="1"/>
    <col min="15" max="15" width="6" style="2" customWidth="1"/>
    <col min="16" max="16" width="4.625" style="2" customWidth="1"/>
    <col min="17" max="17" width="4.125" style="2" customWidth="1"/>
    <col min="18" max="19" width="6.5" style="2" customWidth="1"/>
    <col min="20" max="20" width="6.375" style="2" customWidth="1"/>
    <col min="21" max="21" width="5.25" style="2" customWidth="1"/>
    <col min="22" max="22" width="5.125" style="2" customWidth="1"/>
    <col min="23" max="23" width="4.875" style="2" customWidth="1"/>
    <col min="24" max="16384" width="9" style="2"/>
  </cols>
  <sheetData>
    <row r="2" spans="1:24" ht="45" customHeight="1" x14ac:dyDescent="0.15">
      <c r="A2" s="41" t="s">
        <v>50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4" spans="1:24" s="1" customFormat="1" ht="27.75" customHeight="1" x14ac:dyDescent="0.15">
      <c r="A4" s="43" t="s">
        <v>0</v>
      </c>
      <c r="B4" s="43"/>
      <c r="C4" s="1" t="s">
        <v>1</v>
      </c>
      <c r="H4" s="43" t="s">
        <v>2</v>
      </c>
      <c r="I4" s="43"/>
      <c r="O4" s="43" t="s">
        <v>3</v>
      </c>
      <c r="P4" s="43"/>
      <c r="U4" s="44"/>
      <c r="V4" s="45"/>
      <c r="W4" s="45"/>
    </row>
    <row r="5" spans="1:24" s="1" customFormat="1" ht="27" customHeight="1" x14ac:dyDescent="0.15">
      <c r="A5" s="25" t="s">
        <v>4</v>
      </c>
      <c r="B5" s="25" t="s">
        <v>5</v>
      </c>
      <c r="C5" s="25" t="s">
        <v>6</v>
      </c>
      <c r="D5" s="25" t="s">
        <v>7</v>
      </c>
      <c r="E5" s="25" t="s">
        <v>8</v>
      </c>
      <c r="F5" s="25" t="s">
        <v>9</v>
      </c>
      <c r="G5" s="25" t="s">
        <v>10</v>
      </c>
      <c r="H5" s="3" t="s">
        <v>11</v>
      </c>
      <c r="I5" s="29" t="s">
        <v>12</v>
      </c>
      <c r="J5" s="30"/>
      <c r="K5" s="30"/>
      <c r="L5" s="25" t="s">
        <v>13</v>
      </c>
      <c r="M5" s="25"/>
      <c r="N5" s="25"/>
      <c r="O5" s="25"/>
      <c r="P5" s="25"/>
      <c r="Q5" s="25"/>
      <c r="R5" s="25" t="s">
        <v>14</v>
      </c>
      <c r="S5" s="25"/>
      <c r="T5" s="25" t="s">
        <v>15</v>
      </c>
      <c r="U5" s="25" t="s">
        <v>16</v>
      </c>
      <c r="V5" s="25" t="s">
        <v>17</v>
      </c>
      <c r="W5" s="25" t="s">
        <v>18</v>
      </c>
    </row>
    <row r="6" spans="1:24" s="1" customFormat="1" ht="27.75" customHeight="1" x14ac:dyDescent="0.15">
      <c r="A6" s="25"/>
      <c r="B6" s="25"/>
      <c r="C6" s="25"/>
      <c r="D6" s="25"/>
      <c r="E6" s="25"/>
      <c r="F6" s="25"/>
      <c r="G6" s="25"/>
      <c r="H6" s="3" t="s">
        <v>19</v>
      </c>
      <c r="I6" s="3" t="s">
        <v>20</v>
      </c>
      <c r="J6" s="3" t="s">
        <v>21</v>
      </c>
      <c r="K6" s="4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5"/>
      <c r="U6" s="25"/>
      <c r="V6" s="25"/>
      <c r="W6" s="25"/>
    </row>
    <row r="7" spans="1:24" s="1" customFormat="1" ht="54.75" customHeight="1" x14ac:dyDescent="0.15">
      <c r="A7" s="3">
        <v>1</v>
      </c>
      <c r="B7" s="3" t="s">
        <v>29</v>
      </c>
      <c r="C7" s="3" t="s">
        <v>30</v>
      </c>
      <c r="D7" s="19" t="s">
        <v>51</v>
      </c>
      <c r="E7" s="20" t="s">
        <v>52</v>
      </c>
      <c r="F7" s="4" t="s">
        <v>31</v>
      </c>
      <c r="G7" s="3" t="s">
        <v>32</v>
      </c>
      <c r="H7" s="3">
        <v>0.2</v>
      </c>
      <c r="I7" s="3" t="s">
        <v>33</v>
      </c>
      <c r="J7" s="3" t="s">
        <v>34</v>
      </c>
      <c r="K7" s="9">
        <f>M7/0.93</f>
        <v>0.96774193548387089</v>
      </c>
      <c r="L7" s="3">
        <v>4500</v>
      </c>
      <c r="M7" s="10">
        <f>L7*H7/1000</f>
        <v>0.9</v>
      </c>
      <c r="N7" s="3">
        <v>80</v>
      </c>
      <c r="O7" s="3">
        <v>57</v>
      </c>
      <c r="P7" s="3">
        <v>57</v>
      </c>
      <c r="Q7" s="3">
        <v>1</v>
      </c>
      <c r="R7" s="16">
        <v>4550</v>
      </c>
      <c r="S7" s="17">
        <f>R7*H7/1000</f>
        <v>0.91</v>
      </c>
      <c r="T7" s="37" t="s">
        <v>53</v>
      </c>
      <c r="U7" s="39" t="s">
        <v>54</v>
      </c>
      <c r="V7" s="46" t="s">
        <v>58</v>
      </c>
      <c r="W7" s="23" t="s">
        <v>35</v>
      </c>
      <c r="X7" s="22" t="s">
        <v>56</v>
      </c>
    </row>
    <row r="8" spans="1:24" s="1" customFormat="1" ht="54.75" customHeight="1" x14ac:dyDescent="0.15">
      <c r="A8" s="3">
        <v>2</v>
      </c>
      <c r="B8" s="3" t="s">
        <v>29</v>
      </c>
      <c r="C8" s="3" t="s">
        <v>30</v>
      </c>
      <c r="D8" s="19" t="s">
        <v>51</v>
      </c>
      <c r="E8" s="20" t="s">
        <v>52</v>
      </c>
      <c r="F8" s="4" t="s">
        <v>31</v>
      </c>
      <c r="G8" s="3" t="s">
        <v>32</v>
      </c>
      <c r="H8" s="3">
        <v>0.2</v>
      </c>
      <c r="I8" s="3" t="s">
        <v>33</v>
      </c>
      <c r="J8" s="3" t="s">
        <v>34</v>
      </c>
      <c r="K8" s="9">
        <f>M8/0.93</f>
        <v>3.333333333333333</v>
      </c>
      <c r="L8" s="3">
        <v>15500</v>
      </c>
      <c r="M8" s="10">
        <f>L8*H8/1000</f>
        <v>3.1</v>
      </c>
      <c r="N8" s="3">
        <v>80</v>
      </c>
      <c r="O8" s="3">
        <v>194</v>
      </c>
      <c r="P8" s="3">
        <v>60</v>
      </c>
      <c r="Q8" s="3">
        <v>4</v>
      </c>
      <c r="R8" s="16">
        <v>15600</v>
      </c>
      <c r="S8" s="17">
        <f>R8*H8/1000</f>
        <v>3.12</v>
      </c>
      <c r="T8" s="38"/>
      <c r="U8" s="40"/>
      <c r="V8" s="47"/>
      <c r="W8" s="24"/>
      <c r="X8" s="22" t="s">
        <v>57</v>
      </c>
    </row>
    <row r="9" spans="1:24" s="1" customFormat="1" ht="27" customHeight="1" x14ac:dyDescent="0.15">
      <c r="A9" s="33" t="s">
        <v>36</v>
      </c>
      <c r="B9" s="34"/>
      <c r="C9" s="5"/>
      <c r="D9" s="5"/>
      <c r="E9" s="5"/>
      <c r="F9" s="6"/>
      <c r="G9" s="6"/>
      <c r="H9" s="5"/>
      <c r="I9" s="5"/>
      <c r="J9" s="5"/>
      <c r="K9" s="11">
        <f>SUM(K7:K8)</f>
        <v>4.301075268817204</v>
      </c>
      <c r="L9" s="12">
        <f>SUM(L7:L8)</f>
        <v>20000</v>
      </c>
      <c r="M9" s="11">
        <f>SUM(M7:M8)</f>
        <v>4</v>
      </c>
      <c r="N9" s="13"/>
      <c r="O9" s="12">
        <f>SUM(O7:O8)</f>
        <v>251</v>
      </c>
      <c r="P9" s="12"/>
      <c r="Q9" s="12">
        <f>SUM(Q7:Q8)</f>
        <v>5</v>
      </c>
      <c r="R9" s="12">
        <f>SUM(R7:R8)</f>
        <v>20150</v>
      </c>
      <c r="S9" s="11">
        <f>SUM(S7:S8)</f>
        <v>4.03</v>
      </c>
      <c r="T9" s="18"/>
      <c r="U9" s="31" t="s">
        <v>37</v>
      </c>
      <c r="V9" s="18"/>
      <c r="W9" s="18"/>
    </row>
    <row r="10" spans="1:24" s="1" customFormat="1" ht="27" customHeight="1" x14ac:dyDescent="0.15">
      <c r="A10" s="35"/>
      <c r="B10" s="36"/>
      <c r="C10" s="7"/>
      <c r="D10" s="7"/>
      <c r="E10" s="7"/>
      <c r="F10" s="7"/>
      <c r="G10" s="7"/>
      <c r="H10" s="7"/>
      <c r="I10" s="7"/>
      <c r="J10" s="7"/>
      <c r="K10" s="7" t="s">
        <v>24</v>
      </c>
      <c r="L10" s="7" t="s">
        <v>23</v>
      </c>
      <c r="M10" s="7" t="s">
        <v>24</v>
      </c>
      <c r="N10" s="7"/>
      <c r="O10" s="7" t="s">
        <v>26</v>
      </c>
      <c r="P10" s="7"/>
      <c r="Q10" s="7" t="s">
        <v>38</v>
      </c>
      <c r="R10" s="7" t="s">
        <v>23</v>
      </c>
      <c r="S10" s="7" t="s">
        <v>24</v>
      </c>
      <c r="T10" s="7"/>
      <c r="U10" s="32"/>
      <c r="V10" s="7"/>
      <c r="W10" s="7"/>
    </row>
    <row r="12" spans="1:24" s="1" customFormat="1" ht="19.5" customHeight="1" x14ac:dyDescent="0.15">
      <c r="B12" s="1" t="s">
        <v>39</v>
      </c>
      <c r="H12" s="8"/>
      <c r="N12" s="14"/>
      <c r="O12" s="15"/>
      <c r="T12" s="21" t="s">
        <v>55</v>
      </c>
    </row>
    <row r="13" spans="1:24" s="1" customFormat="1" ht="19.5" customHeight="1" x14ac:dyDescent="0.15">
      <c r="A13" s="1" t="s">
        <v>40</v>
      </c>
      <c r="B13" s="26" t="s">
        <v>41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4" s="1" customFormat="1" ht="19.5" customHeight="1" x14ac:dyDescent="0.15">
      <c r="B14" s="26" t="s">
        <v>42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4" s="1" customFormat="1" ht="19.5" customHeight="1" x14ac:dyDescent="0.15">
      <c r="A15" s="1" t="s">
        <v>43</v>
      </c>
      <c r="B15" s="26" t="s">
        <v>44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4" s="1" customFormat="1" ht="19.5" customHeight="1" x14ac:dyDescent="0.15">
      <c r="A16" s="1" t="s">
        <v>45</v>
      </c>
      <c r="B16" s="26" t="s">
        <v>46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3" s="1" customFormat="1" ht="19.5" customHeight="1" x14ac:dyDescent="0.15">
      <c r="A17" s="1" t="s">
        <v>47</v>
      </c>
      <c r="B17" s="26" t="s">
        <v>48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1:23" ht="42" customHeight="1" x14ac:dyDescent="0.15">
      <c r="O18" s="28"/>
      <c r="P18" s="28"/>
      <c r="Q18" s="28"/>
      <c r="R18" s="28"/>
      <c r="S18" s="28"/>
      <c r="T18" s="28"/>
      <c r="U18" s="28"/>
      <c r="V18" s="28"/>
      <c r="W18" s="28"/>
    </row>
    <row r="19" spans="1:23" ht="20.25" customHeight="1" x14ac:dyDescent="0.15">
      <c r="C19" s="26" t="s">
        <v>49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8"/>
      <c r="P19" s="28"/>
      <c r="Q19" s="28"/>
      <c r="R19" s="28"/>
      <c r="S19" s="28"/>
      <c r="T19" s="28"/>
      <c r="U19" s="28"/>
      <c r="V19" s="28"/>
      <c r="W19" s="28"/>
    </row>
    <row r="20" spans="1:23" x14ac:dyDescent="0.15">
      <c r="Q20" s="27">
        <v>46090</v>
      </c>
      <c r="R20" s="27"/>
      <c r="S20" s="27"/>
      <c r="T20" s="27"/>
    </row>
  </sheetData>
  <mergeCells count="33">
    <mergeCell ref="A2:W2"/>
    <mergeCell ref="A4:B4"/>
    <mergeCell ref="H4:I4"/>
    <mergeCell ref="O4:P4"/>
    <mergeCell ref="U4:W4"/>
    <mergeCell ref="B13:W13"/>
    <mergeCell ref="B14:W14"/>
    <mergeCell ref="F5:F6"/>
    <mergeCell ref="G5:G6"/>
    <mergeCell ref="T5:T6"/>
    <mergeCell ref="U5:U6"/>
    <mergeCell ref="U9:U10"/>
    <mergeCell ref="V5:V6"/>
    <mergeCell ref="W5:W6"/>
    <mergeCell ref="A9:B10"/>
    <mergeCell ref="T7:T8"/>
    <mergeCell ref="U7:U8"/>
    <mergeCell ref="V7:V8"/>
    <mergeCell ref="B15:W15"/>
    <mergeCell ref="B16:W16"/>
    <mergeCell ref="B17:W17"/>
    <mergeCell ref="C19:N19"/>
    <mergeCell ref="Q20:T20"/>
    <mergeCell ref="O18:W19"/>
    <mergeCell ref="W7:W8"/>
    <mergeCell ref="A5:A6"/>
    <mergeCell ref="B5:B6"/>
    <mergeCell ref="C5:C6"/>
    <mergeCell ref="D5:D6"/>
    <mergeCell ref="E5:E6"/>
    <mergeCell ref="I5:K5"/>
    <mergeCell ref="L5:Q5"/>
    <mergeCell ref="R5:S5"/>
  </mergeCells>
  <phoneticPr fontId="11" type="noConversion"/>
  <pageMargins left="0.7" right="0.7" top="0.75" bottom="0.75" header="0.3" footer="0.3"/>
  <pageSetup paperSize="9" scale="97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2026-03-10T02:36:44Z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EA723748CF434077A6F1E4934C78FB45_13</vt:lpwstr>
  </property>
  <property fmtid="{D5CDD505-2E9C-101B-9397-08002B2CF9AE}" pid="3" name="KSOProductBuildVer">
    <vt:lpwstr>2052-11.1.0.14309</vt:lpwstr>
  </property>
</Properties>
</file>