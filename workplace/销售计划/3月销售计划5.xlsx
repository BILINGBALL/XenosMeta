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13_ncr:1_{E2FF617E-CE7A-495A-BF73-D218FE748B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9" i="1"/>
  <c r="R9" i="1" l="1"/>
  <c r="R8" i="1"/>
  <c r="S8" i="1" s="1"/>
  <c r="K7" i="1"/>
  <c r="L9" i="1"/>
  <c r="L8" i="1"/>
  <c r="L10" i="1" s="1"/>
  <c r="Q10" i="1"/>
  <c r="O10" i="1"/>
  <c r="S7" i="1"/>
  <c r="M7" i="1"/>
  <c r="S9" i="1"/>
  <c r="R10" i="1" l="1"/>
  <c r="K10" i="1"/>
  <c r="S10" i="1"/>
  <c r="M10" i="1"/>
</calcChain>
</file>

<file path=xl/sharedStrings.xml><?xml version="1.0" encoding="utf-8"?>
<sst xmlns="http://schemas.openxmlformats.org/spreadsheetml/2006/main" count="75" uniqueCount="67">
  <si>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</si>
  <si>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</si>
  <si>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</si>
  <si>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</si>
  <si>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</si>
  <si>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</si>
  <si>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</si>
  <si>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</si>
  <si>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</si>
  <si>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</si>
  <si>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</si>
  <si>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</si>
  <si>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</si>
  <si>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</si>
  <si>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</si>
  <si>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</si>
  <si>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</si>
  <si>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</si>
  <si>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</si>
  <si>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</si>
  <si>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</si>
  <si>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</si>
  <si>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</si>
  <si>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</si>
  <si>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</si>
  <si>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</si>
  <si>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</si>
  <si>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</si>
  <si>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</si>
  <si>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T型
螺栓</t>
  </si>
  <si>
    <t>编织袋+欧式托盘</t>
  </si>
  <si>
    <t>合计</t>
  </si>
  <si>
    <t>详见
图纸</t>
  </si>
  <si>
    <t>托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</si>
  <si>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</si>
  <si>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</si>
  <si>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</si>
  <si>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</si>
  <si>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</si>
  <si>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</si>
  <si>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</si>
  <si>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</si>
  <si>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</si>
  <si>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 xml:space="preserve">包装物为编织袋加欧式托盘。 </t>
  </si>
  <si>
    <t>分发：总经理、总经办、品管部、生产部</t>
  </si>
  <si>
    <t>2026-4-10</t>
    <phoneticPr fontId="11" type="noConversion"/>
  </si>
  <si>
    <t>涂层要满足200小时盐雾</t>
    <phoneticPr fontId="11" type="noConversion"/>
  </si>
  <si>
    <t>电镀黄锌</t>
    <phoneticPr fontId="11" type="noConversion"/>
  </si>
  <si>
    <t>螺母</t>
    <phoneticPr fontId="11" type="noConversion"/>
  </si>
  <si>
    <t>垫圈</t>
    <phoneticPr fontId="11" type="noConversion"/>
  </si>
  <si>
    <t>260311-1</t>
    <phoneticPr fontId="11" type="noConversion"/>
  </si>
  <si>
    <t>260311-2</t>
  </si>
  <si>
    <t>260311-3</t>
  </si>
  <si>
    <t xml:space="preserve">PC26-00492
</t>
    <phoneticPr fontId="11" type="noConversion"/>
  </si>
  <si>
    <t>8.8级</t>
    <phoneticPr fontId="11" type="noConversion"/>
  </si>
  <si>
    <t>8级</t>
    <phoneticPr fontId="11" type="noConversion"/>
  </si>
  <si>
    <t>45#</t>
    <phoneticPr fontId="11" type="noConversion"/>
  </si>
  <si>
    <t>45#/35#</t>
    <phoneticPr fontId="11" type="noConversion"/>
  </si>
  <si>
    <t>Q355B</t>
    <phoneticPr fontId="11" type="noConversion"/>
  </si>
  <si>
    <t>V02.10015.00</t>
    <phoneticPr fontId="11" type="noConversion"/>
  </si>
  <si>
    <t>外购</t>
    <phoneticPr fontId="11" type="noConversion"/>
  </si>
  <si>
    <t>22*112</t>
    <phoneticPr fontId="11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</si>
  <si>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11" type="noConversion"/>
  </si>
  <si>
    <t>001-26-SDL
8.8</t>
    <phoneticPr fontId="11" type="noConversion"/>
  </si>
  <si>
    <t>杆部30°冷弯</t>
    <phoneticPr fontId="11" type="noConversion"/>
  </si>
  <si>
    <t>与以上装配，拧上就行，不要拧紧</t>
    <phoneticPr fontId="11" type="noConversion"/>
  </si>
  <si>
    <t>3 月  份  销  售  计  划  5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</si>
</sst>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_ "/>
    <numFmt numFmtId="178" formatCode="0.00_ "/>
  </numFmts>
  <fonts count="19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wrapText="1"/>
    </xf>
    <xf numFmtId="178" fontId="3" fillId="0" borderId="3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21"/>
  <sheetViews>
    <sheetView tabSelected="1" topLeftCell="A4" workbookViewId="0">
      <selection activeCell="X7" sqref="X7:X10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8.875" style="2" customWidth="1"/>
    <col min="4" max="4" width="5.25" style="2" customWidth="1"/>
    <col min="5" max="5" width="6.5" style="2" customWidth="1"/>
    <col min="6" max="6" width="6.25" style="2" customWidth="1"/>
    <col min="7" max="7" width="7" style="2" customWidth="1"/>
    <col min="8" max="8" width="8.375" style="2" customWidth="1"/>
    <col min="9" max="11" width="5.625" style="2" customWidth="1"/>
    <col min="12" max="12" width="6.5" style="2" customWidth="1"/>
    <col min="13" max="13" width="7.25" style="2" customWidth="1"/>
    <col min="14" max="14" width="4" style="2" customWidth="1"/>
    <col min="15" max="15" width="6" style="2" customWidth="1"/>
    <col min="16" max="16" width="4.625" style="2" customWidth="1"/>
    <col min="17" max="17" width="4.125" style="2" customWidth="1"/>
    <col min="18" max="19" width="6.5" style="2" customWidth="1"/>
    <col min="20" max="20" width="6.375" style="2" customWidth="1"/>
    <col min="21" max="21" width="10.875" style="2" customWidth="1"/>
    <col min="22" max="22" width="5.125" style="2" customWidth="1"/>
    <col min="23" max="23" width="4.875" style="2" customWidth="1"/>
    <col min="24" max="16384" width="9" style="2"/>
  </cols>
  <sheetData>
    <row r="2" spans="1:24" ht="45" customHeight="1" x14ac:dyDescent="0.15">
      <c r="A2" s="24" t="s">
        <v>66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</row>
    <row r="4" spans="1:24" s="1" customFormat="1" ht="27.75" customHeight="1" x14ac:dyDescent="0.15">
      <c r="A4" s="25" t="s">
        <v>0</v>
      </c>
      <c r="B4" s="25"/>
      <c r="C4" s="1" t="s">
        <v>1</v>
      </c>
      <c r="H4" s="25" t="s">
        <v>2</v>
      </c>
      <c r="I4" s="25"/>
      <c r="O4" s="25" t="s">
        <v>3</v>
      </c>
      <c r="P4" s="25"/>
      <c r="U4" s="26"/>
      <c r="V4" s="27"/>
      <c r="W4" s="27"/>
    </row>
    <row r="5" spans="1:24" s="1" customFormat="1" ht="27" customHeight="1" x14ac:dyDescent="0.15">
      <c r="A5" s="34" t="s">
        <v>4</v>
      </c>
      <c r="B5" s="34" t="s">
        <v>5</v>
      </c>
      <c r="C5" s="34" t="s">
        <v>6</v>
      </c>
      <c r="D5" s="34" t="s">
        <v>7</v>
      </c>
      <c r="E5" s="34" t="s">
        <v>8</v>
      </c>
      <c r="F5" s="34" t="s">
        <v>9</v>
      </c>
      <c r="G5" s="34" t="s">
        <v>10</v>
      </c>
      <c r="H5" s="3" t="s">
        <v>11</v>
      </c>
      <c r="I5" s="38" t="s">
        <v>12</v>
      </c>
      <c r="J5" s="39"/>
      <c r="K5" s="39"/>
      <c r="L5" s="34" t="s">
        <v>13</v>
      </c>
      <c r="M5" s="34"/>
      <c r="N5" s="34"/>
      <c r="O5" s="34"/>
      <c r="P5" s="34"/>
      <c r="Q5" s="34"/>
      <c r="R5" s="34" t="s">
        <v>14</v>
      </c>
      <c r="S5" s="34"/>
      <c r="T5" s="34" t="s">
        <v>15</v>
      </c>
      <c r="U5" s="34" t="s">
        <v>16</v>
      </c>
      <c r="V5" s="34" t="s">
        <v>17</v>
      </c>
      <c r="W5" s="34" t="s">
        <v>18</v>
      </c>
    </row>
    <row r="6" spans="1:24" s="1" customFormat="1" ht="27.75" customHeight="1" x14ac:dyDescent="0.15">
      <c r="A6" s="34"/>
      <c r="B6" s="34"/>
      <c r="C6" s="34"/>
      <c r="D6" s="34"/>
      <c r="E6" s="34"/>
      <c r="F6" s="34"/>
      <c r="G6" s="34"/>
      <c r="H6" s="3" t="s">
        <v>19</v>
      </c>
      <c r="I6" s="3" t="s">
        <v>20</v>
      </c>
      <c r="J6" s="3" t="s">
        <v>21</v>
      </c>
      <c r="K6" s="4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34"/>
      <c r="U6" s="34"/>
      <c r="V6" s="34"/>
      <c r="W6" s="34"/>
    </row>
    <row r="7" spans="1:24" s="1" customFormat="1" ht="54.75" customHeight="1" x14ac:dyDescent="0.15">
      <c r="A7" s="3">
        <v>1</v>
      </c>
      <c r="B7" s="3" t="s">
        <v>29</v>
      </c>
      <c r="C7" s="3" t="s">
        <v>61</v>
      </c>
      <c r="D7" s="3" t="s">
        <v>50</v>
      </c>
      <c r="E7" s="50" t="s">
        <v>53</v>
      </c>
      <c r="F7" s="4" t="s">
        <v>54</v>
      </c>
      <c r="G7" s="50" t="s">
        <v>59</v>
      </c>
      <c r="H7" s="3">
        <v>0.435</v>
      </c>
      <c r="I7" s="3" t="s">
        <v>56</v>
      </c>
      <c r="J7" s="21" t="s">
        <v>62</v>
      </c>
      <c r="K7" s="9">
        <f>M7/0.92</f>
        <v>9.4565217391304337</v>
      </c>
      <c r="L7" s="3">
        <v>20000</v>
      </c>
      <c r="M7" s="10">
        <f>L7*H7/1000</f>
        <v>8.6999999999999993</v>
      </c>
      <c r="N7" s="3">
        <v>35</v>
      </c>
      <c r="O7" s="3">
        <v>572</v>
      </c>
      <c r="P7" s="3">
        <v>35</v>
      </c>
      <c r="Q7" s="3">
        <v>17</v>
      </c>
      <c r="R7" s="16">
        <v>20100</v>
      </c>
      <c r="S7" s="17">
        <f>R7*H7/1000</f>
        <v>8.7434999999999992</v>
      </c>
      <c r="T7" s="46" t="s">
        <v>45</v>
      </c>
      <c r="U7" s="16" t="s">
        <v>63</v>
      </c>
      <c r="V7" s="28" t="s">
        <v>47</v>
      </c>
      <c r="W7" s="31" t="s">
        <v>30</v>
      </c>
      <c r="X7" s="20"/>
    </row>
    <row r="8" spans="1:24" s="1" customFormat="1" ht="54.75" customHeight="1" x14ac:dyDescent="0.15">
      <c r="A8" s="3">
        <v>2</v>
      </c>
      <c r="B8" s="3" t="s">
        <v>48</v>
      </c>
      <c r="C8" s="3">
        <v>22</v>
      </c>
      <c r="D8" s="3" t="s">
        <v>51</v>
      </c>
      <c r="E8" s="29"/>
      <c r="F8" s="4" t="s">
        <v>55</v>
      </c>
      <c r="G8" s="52"/>
      <c r="H8" s="3">
        <v>0.13800000000000001</v>
      </c>
      <c r="I8" s="3" t="s">
        <v>57</v>
      </c>
      <c r="J8" s="42" t="s">
        <v>60</v>
      </c>
      <c r="K8" s="43"/>
      <c r="L8" s="3">
        <f>L7</f>
        <v>20000</v>
      </c>
      <c r="M8" s="10">
        <f t="shared" ref="M8:M9" si="0">L8*H8/1000</f>
        <v>2.7600000000000007</v>
      </c>
      <c r="N8" s="42" t="s">
        <v>65</v>
      </c>
      <c r="O8" s="49"/>
      <c r="P8" s="49"/>
      <c r="Q8" s="43"/>
      <c r="R8" s="3">
        <f>R7</f>
        <v>20100</v>
      </c>
      <c r="S8" s="17">
        <f>R8*H8/1000</f>
        <v>2.7738</v>
      </c>
      <c r="T8" s="47"/>
      <c r="U8" s="22">
        <v>8</v>
      </c>
      <c r="V8" s="29"/>
      <c r="W8" s="32"/>
      <c r="X8" s="20"/>
    </row>
    <row r="9" spans="1:24" s="1" customFormat="1" ht="54.75" customHeight="1" x14ac:dyDescent="0.15">
      <c r="A9" s="3">
        <v>3</v>
      </c>
      <c r="B9" s="3" t="s">
        <v>49</v>
      </c>
      <c r="C9" s="3">
        <v>22</v>
      </c>
      <c r="D9" s="3" t="s">
        <v>52</v>
      </c>
      <c r="E9" s="51"/>
      <c r="F9" s="4"/>
      <c r="G9" s="30"/>
      <c r="H9" s="3">
        <v>0.04</v>
      </c>
      <c r="I9" s="3" t="s">
        <v>58</v>
      </c>
      <c r="J9" s="44"/>
      <c r="K9" s="45"/>
      <c r="L9" s="3">
        <f>L7</f>
        <v>20000</v>
      </c>
      <c r="M9" s="10">
        <f t="shared" si="0"/>
        <v>0.8</v>
      </c>
      <c r="N9" s="44"/>
      <c r="O9" s="25"/>
      <c r="P9" s="25"/>
      <c r="Q9" s="45"/>
      <c r="R9" s="3">
        <f>R7</f>
        <v>20100</v>
      </c>
      <c r="S9" s="17">
        <f>R9*H9/1000</f>
        <v>0.80400000000000005</v>
      </c>
      <c r="T9" s="48"/>
      <c r="U9" s="16"/>
      <c r="V9" s="30"/>
      <c r="W9" s="33"/>
      <c r="X9" s="20"/>
    </row>
    <row r="10" spans="1:24" s="1" customFormat="1" ht="27" customHeight="1" x14ac:dyDescent="0.15">
      <c r="A10" s="42" t="s">
        <v>31</v>
      </c>
      <c r="B10" s="43"/>
      <c r="C10" s="5"/>
      <c r="D10" s="5"/>
      <c r="E10" s="5"/>
      <c r="F10" s="6"/>
      <c r="G10" s="6"/>
      <c r="H10" s="5"/>
      <c r="I10" s="5"/>
      <c r="J10" s="5"/>
      <c r="K10" s="11">
        <f>SUM(K7:K9)</f>
        <v>9.4565217391304337</v>
      </c>
      <c r="L10" s="12">
        <f>SUM(L7:L9)</f>
        <v>60000</v>
      </c>
      <c r="M10" s="11">
        <f>SUM(M7:M9)</f>
        <v>12.260000000000002</v>
      </c>
      <c r="N10" s="13"/>
      <c r="O10" s="12">
        <f>SUM(O7:O9)</f>
        <v>572</v>
      </c>
      <c r="P10" s="12"/>
      <c r="Q10" s="12">
        <f>SUM(Q7:Q9)</f>
        <v>17</v>
      </c>
      <c r="R10" s="12">
        <f>SUM(R7:R9)</f>
        <v>60300</v>
      </c>
      <c r="S10" s="11">
        <f>SUM(S7:S9)</f>
        <v>12.321299999999999</v>
      </c>
      <c r="T10" s="18"/>
      <c r="U10" s="40" t="s">
        <v>32</v>
      </c>
      <c r="V10" s="18"/>
      <c r="W10" s="18"/>
    </row>
    <row r="11" spans="1:24" s="1" customFormat="1" ht="27" customHeight="1" x14ac:dyDescent="0.15">
      <c r="A11" s="44"/>
      <c r="B11" s="45"/>
      <c r="C11" s="7"/>
      <c r="D11" s="7"/>
      <c r="E11" s="7"/>
      <c r="F11" s="7"/>
      <c r="G11" s="7"/>
      <c r="H11" s="7"/>
      <c r="I11" s="7"/>
      <c r="J11" s="7"/>
      <c r="K11" s="7" t="s">
        <v>24</v>
      </c>
      <c r="L11" s="7" t="s">
        <v>23</v>
      </c>
      <c r="M11" s="7" t="s">
        <v>24</v>
      </c>
      <c r="N11" s="7"/>
      <c r="O11" s="7" t="s">
        <v>26</v>
      </c>
      <c r="P11" s="7"/>
      <c r="Q11" s="7" t="s">
        <v>33</v>
      </c>
      <c r="R11" s="7" t="s">
        <v>23</v>
      </c>
      <c r="S11" s="7" t="s">
        <v>24</v>
      </c>
      <c r="T11" s="7"/>
      <c r="U11" s="41"/>
      <c r="V11" s="7"/>
      <c r="W11" s="7"/>
    </row>
    <row r="13" spans="1:24" s="1" customFormat="1" ht="19.5" customHeight="1" x14ac:dyDescent="0.15">
      <c r="B13" s="1" t="s">
        <v>34</v>
      </c>
      <c r="H13" s="8"/>
      <c r="M13" s="23" t="s">
        <v>64</v>
      </c>
      <c r="N13" s="14"/>
      <c r="O13" s="15"/>
      <c r="T13" s="19" t="s">
        <v>46</v>
      </c>
    </row>
    <row r="14" spans="1:24" s="1" customFormat="1" ht="19.5" customHeight="1" x14ac:dyDescent="0.15">
      <c r="A14" s="1" t="s">
        <v>35</v>
      </c>
      <c r="B14" s="35" t="s">
        <v>36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</row>
    <row r="15" spans="1:24" s="1" customFormat="1" ht="19.5" customHeight="1" x14ac:dyDescent="0.15">
      <c r="B15" s="35" t="s">
        <v>37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</row>
    <row r="16" spans="1:24" s="1" customFormat="1" ht="19.5" customHeight="1" x14ac:dyDescent="0.15">
      <c r="A16" s="1" t="s">
        <v>38</v>
      </c>
      <c r="B16" s="35" t="s">
        <v>39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</row>
    <row r="17" spans="1:23" s="1" customFormat="1" ht="19.5" customHeight="1" x14ac:dyDescent="0.15">
      <c r="A17" s="1" t="s">
        <v>40</v>
      </c>
      <c r="B17" s="35" t="s">
        <v>41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</row>
    <row r="18" spans="1:23" s="1" customFormat="1" ht="19.5" customHeight="1" x14ac:dyDescent="0.15">
      <c r="A18" s="1" t="s">
        <v>42</v>
      </c>
      <c r="B18" s="35" t="s">
        <v>43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</row>
    <row r="19" spans="1:23" ht="42" customHeight="1" x14ac:dyDescent="0.15">
      <c r="O19" s="37"/>
      <c r="P19" s="37"/>
      <c r="Q19" s="37"/>
      <c r="R19" s="37"/>
      <c r="S19" s="37"/>
      <c r="T19" s="37"/>
      <c r="U19" s="37"/>
      <c r="V19" s="37"/>
      <c r="W19" s="37"/>
    </row>
    <row r="20" spans="1:23" ht="20.25" customHeight="1" x14ac:dyDescent="0.15">
      <c r="C20" s="35" t="s">
        <v>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7"/>
      <c r="P20" s="37"/>
      <c r="Q20" s="37"/>
      <c r="R20" s="37"/>
      <c r="S20" s="37"/>
      <c r="T20" s="37"/>
      <c r="U20" s="37"/>
      <c r="V20" s="37"/>
      <c r="W20" s="37"/>
    </row>
    <row r="21" spans="1:23" x14ac:dyDescent="0.15">
      <c r="Q21" s="36">
        <v>46092</v>
      </c>
      <c r="R21" s="36"/>
      <c r="S21" s="36"/>
      <c r="T21" s="36"/>
    </row>
  </sheetData>
  <mergeCells count="36">
    <mergeCell ref="B16:W16"/>
    <mergeCell ref="B14:W14"/>
    <mergeCell ref="B15:W15"/>
    <mergeCell ref="F5:F6"/>
    <mergeCell ref="G5:G6"/>
    <mergeCell ref="T5:T6"/>
    <mergeCell ref="U5:U6"/>
    <mergeCell ref="U10:U11"/>
    <mergeCell ref="V5:V6"/>
    <mergeCell ref="W5:W6"/>
    <mergeCell ref="A10:B11"/>
    <mergeCell ref="T7:T9"/>
    <mergeCell ref="L5:Q5"/>
    <mergeCell ref="N8:Q9"/>
    <mergeCell ref="E7:E9"/>
    <mergeCell ref="G7:G9"/>
    <mergeCell ref="B17:W17"/>
    <mergeCell ref="B18:W18"/>
    <mergeCell ref="C20:N20"/>
    <mergeCell ref="Q21:T21"/>
    <mergeCell ref="O19:W20"/>
    <mergeCell ref="V7:V9"/>
    <mergeCell ref="W7:W9"/>
    <mergeCell ref="A5:A6"/>
    <mergeCell ref="B5:B6"/>
    <mergeCell ref="R5:S5"/>
    <mergeCell ref="C5:C6"/>
    <mergeCell ref="D5:D6"/>
    <mergeCell ref="E5:E6"/>
    <mergeCell ref="I5:K5"/>
    <mergeCell ref="J8:K9"/>
    <mergeCell ref="A2:W2"/>
    <mergeCell ref="A4:B4"/>
    <mergeCell ref="H4:I4"/>
    <mergeCell ref="O4:P4"/>
    <mergeCell ref="U4:W4"/>
  </mergeCells>
  <phoneticPr fontId="11" type="noConversion"/>
  <pageMargins left="0.7" right="0.7" top="0.75" bottom="0.75" header="0.3" footer="0.3"/>
  <pageSetup paperSize="9" scale="97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2026-05-13T09:31:14Z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EA723748CF434077A6F1E4934C78FB45_13</vt:lpwstr>
  </property>
  <property fmtid="{D5CDD505-2E9C-101B-9397-08002B2CF9AE}" pid="3" name="KSOProductBuildVer">
    <vt:lpwstr>2052-11.1.0.14309</vt:lpwstr>
  </property>
</Properties>
</file>