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8_{C80491EB-6DA6-42EA-AAE4-90F951686D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M7" i="1"/>
  <c r="K7" i="1"/>
</calcChain>
</file>

<file path=xl/sharedStrings.xml><?xml version="1.0" encoding="utf-8"?>
<sst xmlns="http://schemas.openxmlformats.org/spreadsheetml/2006/main" count="58" uniqueCount="55">
  <si>
    <t>编制：高蕾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</si>
  <si>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</si>
  <si>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</si>
  <si>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</si>
  <si>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</si>
  <si>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</si>
  <si>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</si>
  <si>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</si>
  <si>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</si>
  <si>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</si>
  <si>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</si>
  <si>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</si>
  <si>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</si>
  <si>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</si>
  <si>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</si>
  <si>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</si>
  <si>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</si>
  <si>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</si>
  <si>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</si>
  <si>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</si>
  <si>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</si>
  <si>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</si>
  <si>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</si>
  <si>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</si>
  <si>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</si>
  <si>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</si>
  <si>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袋/托</t>
  </si>
  <si>
    <t>托</t>
  </si>
  <si>
    <t>双耳勾头道钉</t>
  </si>
  <si>
    <t>16X16X170</t>
  </si>
  <si>
    <t>见图纸</t>
  </si>
  <si>
    <t>GD-32
（A3553）</t>
  </si>
  <si>
    <t>Q235</t>
  </si>
  <si>
    <t>Φ22</t>
  </si>
  <si>
    <t>本色上油</t>
  </si>
  <si>
    <t>双层编织袋+托盘</t>
  </si>
  <si>
    <t>合计</t>
  </si>
  <si>
    <t>说明：</t>
  </si>
  <si>
    <t>1、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</si>
  <si>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</si>
  <si>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</si>
  <si>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</si>
  <si>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</si>
  <si>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</si>
  <si>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SDL
26</t>
    <phoneticPr fontId="5" type="noConversion"/>
  </si>
  <si>
    <t>26.6
吨</t>
    <phoneticPr fontId="5" type="noConversion"/>
  </si>
  <si>
    <t>70000
件</t>
    <phoneticPr fontId="5" type="noConversion"/>
  </si>
  <si>
    <t>23.5
吨</t>
    <phoneticPr fontId="5" type="noConversion"/>
  </si>
  <si>
    <t>1400
袋</t>
    <phoneticPr fontId="5" type="noConversion"/>
  </si>
  <si>
    <t>35
托</t>
    <phoneticPr fontId="5" type="noConversion"/>
  </si>
  <si>
    <t>70100
件</t>
    <phoneticPr fontId="5" type="noConversion"/>
  </si>
  <si>
    <t>2026-5-10</t>
    <phoneticPr fontId="5" type="noConversion"/>
  </si>
  <si>
    <t>包装物为白色双层编织袋加托盘，缠绕膜缠绕打托，防水标签。</t>
    <phoneticPr fontId="5" type="noConversion"/>
  </si>
  <si>
    <t>4  月  份  销  售  计  划  3</t>
    <phoneticPr fontId="5" type="noConversion"/>
  </si>
  <si>
    <t>260409-1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</si>
</sst>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5"/>
  <sheetViews>
    <sheetView tabSelected="1" topLeftCell="A4" workbookViewId="0">
      <selection activeCell="M14" sqref="M14"/>
    </sheetView>
  </sheetViews>
  <sheetFormatPr defaultColWidth="9" defaultRowHeight="13.5" x14ac:dyDescent="0.15"/>
  <cols>
    <col min="1" max="1" width="4.125" style="2" customWidth="1"/>
    <col min="2" max="2" width="5.75" style="2" customWidth="1"/>
    <col min="3" max="3" width="10.125" style="2" customWidth="1"/>
    <col min="4" max="4" width="6.5" style="2" customWidth="1"/>
    <col min="5" max="5" width="8.625" style="2" customWidth="1"/>
    <col min="6" max="6" width="6.5" style="2" customWidth="1"/>
    <col min="7" max="7" width="8.5" style="2" customWidth="1"/>
    <col min="8" max="8" width="6.375" style="2" customWidth="1"/>
    <col min="9" max="9" width="6.5" style="2" customWidth="1"/>
    <col min="10" max="10" width="5.25" style="2" customWidth="1"/>
    <col min="11" max="11" width="7.25" style="2" customWidth="1"/>
    <col min="12" max="12" width="7.5" style="2" customWidth="1"/>
    <col min="13" max="13" width="6.5" style="2" customWidth="1"/>
    <col min="14" max="14" width="4.5" style="2" customWidth="1"/>
    <col min="15" max="15" width="5.25" style="2" customWidth="1"/>
    <col min="16" max="16" width="4.625" style="2" customWidth="1"/>
    <col min="17" max="17" width="4.75" style="2" customWidth="1"/>
    <col min="18" max="18" width="7.75" style="2" customWidth="1"/>
    <col min="19" max="19" width="5.625" style="2" customWidth="1"/>
    <col min="20" max="20" width="4.5" style="2" customWidth="1"/>
    <col min="21" max="23" width="5.125" style="2" customWidth="1"/>
    <col min="24" max="16384" width="9" style="2"/>
  </cols>
  <sheetData>
    <row r="2" spans="1:23" ht="45" customHeight="1" x14ac:dyDescent="0.15">
      <c r="A2" s="19" t="s">
        <v>53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4" spans="1:23" s="1" customFormat="1" ht="27.75" customHeight="1" x14ac:dyDescent="0.15">
      <c r="B4" s="21" t="s">
        <v>0</v>
      </c>
      <c r="C4" s="21"/>
      <c r="H4" s="22" t="s">
        <v>1</v>
      </c>
      <c r="I4" s="22"/>
      <c r="O4" s="22" t="s">
        <v>2</v>
      </c>
      <c r="P4" s="22"/>
      <c r="U4" s="23"/>
      <c r="V4" s="21"/>
      <c r="W4" s="21"/>
    </row>
    <row r="5" spans="1:23" s="1" customFormat="1" ht="27" customHeight="1" x14ac:dyDescent="0.15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3" t="s">
        <v>10</v>
      </c>
      <c r="I5" s="17" t="s">
        <v>11</v>
      </c>
      <c r="J5" s="18"/>
      <c r="K5" s="18"/>
      <c r="L5" s="10" t="s">
        <v>12</v>
      </c>
      <c r="M5" s="10"/>
      <c r="N5" s="10"/>
      <c r="O5" s="10"/>
      <c r="P5" s="10"/>
      <c r="Q5" s="10"/>
      <c r="R5" s="10" t="s">
        <v>13</v>
      </c>
      <c r="S5" s="10"/>
      <c r="T5" s="10" t="s">
        <v>14</v>
      </c>
      <c r="U5" s="10" t="s">
        <v>15</v>
      </c>
      <c r="V5" s="10" t="s">
        <v>16</v>
      </c>
      <c r="W5" s="10" t="s">
        <v>17</v>
      </c>
    </row>
    <row r="6" spans="1:23" s="1" customFormat="1" ht="27.75" customHeight="1" x14ac:dyDescent="0.15">
      <c r="A6" s="10"/>
      <c r="B6" s="10"/>
      <c r="C6" s="10"/>
      <c r="D6" s="10"/>
      <c r="E6" s="10"/>
      <c r="F6" s="10"/>
      <c r="G6" s="10"/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  <c r="R6" s="3" t="s">
        <v>22</v>
      </c>
      <c r="S6" s="3" t="s">
        <v>23</v>
      </c>
      <c r="T6" s="10"/>
      <c r="U6" s="10"/>
      <c r="V6" s="10"/>
      <c r="W6" s="10"/>
    </row>
    <row r="7" spans="1:23" s="1" customFormat="1" ht="78" customHeight="1" x14ac:dyDescent="0.15">
      <c r="A7" s="3">
        <v>1</v>
      </c>
      <c r="B7" s="3" t="s">
        <v>28</v>
      </c>
      <c r="C7" s="3" t="s">
        <v>29</v>
      </c>
      <c r="D7" s="8" t="s">
        <v>54</v>
      </c>
      <c r="E7" s="4">
        <v>2026002</v>
      </c>
      <c r="F7" s="3" t="s">
        <v>30</v>
      </c>
      <c r="G7" s="3" t="s">
        <v>31</v>
      </c>
      <c r="H7" s="3">
        <v>0.33500000000000002</v>
      </c>
      <c r="I7" s="3" t="s">
        <v>32</v>
      </c>
      <c r="J7" s="3" t="s">
        <v>33</v>
      </c>
      <c r="K7" s="5">
        <f>M7/0.88</f>
        <v>26.647727272727273</v>
      </c>
      <c r="L7" s="3">
        <v>70000</v>
      </c>
      <c r="M7" s="5">
        <f>H7*L7/1000</f>
        <v>23.45</v>
      </c>
      <c r="N7" s="3">
        <v>50</v>
      </c>
      <c r="O7" s="3">
        <v>1400</v>
      </c>
      <c r="P7" s="3">
        <v>40</v>
      </c>
      <c r="Q7" s="3">
        <v>35</v>
      </c>
      <c r="R7" s="3">
        <v>70100</v>
      </c>
      <c r="S7" s="5">
        <f>R7*H7/1000</f>
        <v>23.483499999999999</v>
      </c>
      <c r="T7" s="11" t="s">
        <v>51</v>
      </c>
      <c r="U7" s="7" t="s">
        <v>44</v>
      </c>
      <c r="V7" s="3" t="s">
        <v>34</v>
      </c>
      <c r="W7" s="6" t="s">
        <v>35</v>
      </c>
    </row>
    <row r="8" spans="1:23" s="1" customFormat="1" ht="34.5" customHeight="1" x14ac:dyDescent="0.15">
      <c r="A8" s="10" t="s">
        <v>36</v>
      </c>
      <c r="B8" s="10"/>
      <c r="C8" s="3"/>
      <c r="D8" s="3"/>
      <c r="E8" s="3"/>
      <c r="F8" s="3"/>
      <c r="G8" s="3"/>
      <c r="H8" s="3"/>
      <c r="I8" s="3"/>
      <c r="J8" s="3"/>
      <c r="K8" s="9" t="s">
        <v>45</v>
      </c>
      <c r="L8" s="9" t="s">
        <v>46</v>
      </c>
      <c r="M8" s="9" t="s">
        <v>47</v>
      </c>
      <c r="N8" s="3"/>
      <c r="O8" s="9" t="s">
        <v>48</v>
      </c>
      <c r="P8" s="3"/>
      <c r="Q8" s="9" t="s">
        <v>49</v>
      </c>
      <c r="R8" s="9" t="s">
        <v>50</v>
      </c>
      <c r="S8" s="9" t="s">
        <v>47</v>
      </c>
      <c r="T8" s="12"/>
      <c r="U8" s="3"/>
      <c r="V8" s="3"/>
      <c r="W8" s="3"/>
    </row>
    <row r="10" spans="1:23" s="1" customFormat="1" ht="19.5" customHeight="1" x14ac:dyDescent="0.15">
      <c r="B10" s="13" t="s">
        <v>37</v>
      </c>
      <c r="C10" s="13"/>
    </row>
    <row r="11" spans="1:23" s="1" customFormat="1" ht="19.5" customHeight="1" x14ac:dyDescent="0.15">
      <c r="A11" s="1" t="s">
        <v>38</v>
      </c>
      <c r="B11" s="13" t="s">
        <v>39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s="1" customFormat="1" ht="19.5" customHeight="1" x14ac:dyDescent="0.15">
      <c r="A12" s="1" t="s">
        <v>40</v>
      </c>
      <c r="B12" s="13" t="s">
        <v>41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s="1" customFormat="1" ht="19.5" customHeight="1" x14ac:dyDescent="0.15">
      <c r="A13" s="1" t="s">
        <v>42</v>
      </c>
      <c r="B13" s="14" t="s">
        <v>52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42" customHeight="1" x14ac:dyDescent="0.15">
      <c r="R14" s="15">
        <v>46121</v>
      </c>
      <c r="S14" s="16"/>
      <c r="T14" s="16"/>
      <c r="U14" s="16"/>
    </row>
    <row r="15" spans="1:23" ht="20.25" customHeight="1" x14ac:dyDescent="0.15">
      <c r="C15" s="13" t="s">
        <v>43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</sheetData>
  <mergeCells count="27">
    <mergeCell ref="A2:W2"/>
    <mergeCell ref="B4:C4"/>
    <mergeCell ref="H4:I4"/>
    <mergeCell ref="O4:P4"/>
    <mergeCell ref="U4:W4"/>
    <mergeCell ref="I5:K5"/>
    <mergeCell ref="L5:Q5"/>
    <mergeCell ref="R5:S5"/>
    <mergeCell ref="A8:B8"/>
    <mergeCell ref="B10:C10"/>
    <mergeCell ref="A5:A6"/>
    <mergeCell ref="B5:B6"/>
    <mergeCell ref="C5:C6"/>
    <mergeCell ref="D5:D6"/>
    <mergeCell ref="E5:E6"/>
    <mergeCell ref="F5:F6"/>
    <mergeCell ref="G5:G6"/>
    <mergeCell ref="B11:W11"/>
    <mergeCell ref="B12:W12"/>
    <mergeCell ref="B13:W13"/>
    <mergeCell ref="R14:U14"/>
    <mergeCell ref="C15:N15"/>
    <mergeCell ref="T5:T6"/>
    <mergeCell ref="T7:T8"/>
    <mergeCell ref="U5:U6"/>
    <mergeCell ref="V5:V6"/>
    <mergeCell ref="W5:W6"/>
  </mergeCells>
  <phoneticPr fontId="5" type="noConversion"/>
  <pageMargins left="0.7" right="0.7" top="0.75" bottom="0.75" header="0.3" footer="0.3"/>
  <pageSetup paperSize="9" scale="96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2026-04-09T02:05:23Z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3B1A4EF1DF5C419EA8B31C41357DF200_13</vt:lpwstr>
  </property>
  <property fmtid="{D5CDD505-2E9C-101B-9397-08002B2CF9AE}" pid="3" name="KSOProductBuildVer">
    <vt:lpwstr>2052-12.1.0.18608</vt:lpwstr>
  </property>
</Properties>
</file>