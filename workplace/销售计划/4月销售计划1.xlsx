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:\文件汇总\2026\计划\"/>
    </mc:Choice>
  </mc:AlternateContent>
  <xr:revisionPtr revIDLastSave="0" documentId="13_ncr:1_{5FF4B707-E649-452A-8FEA-817A210527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1" l="1"/>
  <c r="Q7" i="1"/>
  <c r="P7" i="1"/>
  <c r="N7" i="1"/>
  <c r="K7" i="1"/>
  <c r="L7" i="1"/>
  <c r="J7" i="1"/>
  <c r="R5" i="1"/>
  <c r="L5" i="1"/>
  <c r="J5" i="1" s="1"/>
  <c r="R6" i="1"/>
  <c r="L6" i="1"/>
  <c r="J6" i="1" s="1"/>
</calcChain>
</file>

<file path=xl/sharedStrings.xml><?xml version="1.0" encoding="utf-8"?>
<sst xmlns="http://schemas.openxmlformats.org/spreadsheetml/2006/main" count="70" uniqueCount="57">
  <si>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</si>
  <si>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</si>
  <si>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</si>
  <si>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</si>
  <si>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</si>
  <si>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</si>
  <si>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</si>
  <si>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</si>
  <si>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</si>
  <si>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</si>
  <si>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</si>
  <si>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</si>
  <si>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</si>
  <si>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</si>
  <si>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</si>
  <si>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</si>
  <si>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</si>
  <si>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</si>
  <si>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</si>
  <si>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</si>
  <si>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</si>
  <si>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</si>
  <si>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</si>
  <si>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件/桶</t>
  </si>
  <si>
    <t>桶</t>
  </si>
  <si>
    <t>桶/托</t>
  </si>
  <si>
    <t>托</t>
  </si>
  <si>
    <t>尖头螺纹道钉</t>
  </si>
  <si>
    <t>Φ24</t>
  </si>
  <si>
    <t>合计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</si>
  <si>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</si>
  <si>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</si>
  <si>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</si>
  <si>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</si>
  <si>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</si>
  <si>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</si>
  <si>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</si>
  <si>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</si>
  <si>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分发：总经理、总经办、品管部、生产部</t>
  </si>
  <si>
    <t>表面本色
螺纹涂蜡</t>
    <phoneticPr fontId="7" type="noConversion"/>
  </si>
  <si>
    <t>高蕾</t>
    <phoneticPr fontId="7" type="noConversion"/>
  </si>
  <si>
    <t>产品
图纸</t>
    <phoneticPr fontId="7" type="noConversion"/>
  </si>
  <si>
    <t>件</t>
    <phoneticPr fontId="7" type="noConversion"/>
  </si>
  <si>
    <t>详见
图纸</t>
    <phoneticPr fontId="7" type="noConversion"/>
  </si>
  <si>
    <t>15/16*6</t>
    <phoneticPr fontId="7" type="noConversion"/>
  </si>
  <si>
    <t>SDL25507</t>
    <phoneticPr fontId="7" type="noConversion"/>
  </si>
  <si>
    <t>35K</t>
    <phoneticPr fontId="7" type="noConversion"/>
  </si>
  <si>
    <t>100磅铁桶+托盘
（免熏蒸材质）</t>
    <phoneticPr fontId="7" type="noConversion"/>
  </si>
  <si>
    <t>4、</t>
  </si>
  <si>
    <t>包装为100磅铁桶+托盘（免熏蒸材质），包装结实，适合多次转运。</t>
  </si>
  <si>
    <t>4 月  份  销  售  计  划  1</t>
    <phoneticPr fontId="7" type="noConversion"/>
  </si>
  <si>
    <t>260402-1</t>
    <phoneticPr fontId="7" type="noConversion"/>
  </si>
  <si>
    <t>260402-2</t>
  </si>
  <si>
    <t>ZSTL-KB2026032401/040101</t>
    <phoneticPr fontId="7" type="noConversion"/>
  </si>
  <si>
    <t>2026-5-5</t>
    <phoneticPr fontId="7" type="noConversion"/>
  </si>
  <si>
    <t>2026-5-25</t>
    <phoneticPr fontId="7" type="noConversion"/>
  </si>
  <si>
    <t>15/16x6
OM
04
26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</si>
</sst>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[$-F800]dddd\,\ mmmm\ dd\,\ yyyy"/>
    <numFmt numFmtId="178" formatCode="0_ "/>
  </numFmts>
  <fonts count="11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78" fontId="1" fillId="0" borderId="4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7" fontId="6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7"/>
  <sheetViews>
    <sheetView tabSelected="1" workbookViewId="0">
      <selection activeCell="D7" sqref="D7:D8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6" width="10.375" style="2" customWidth="1"/>
    <col min="7" max="7" width="7.125" style="2" customWidth="1"/>
    <col min="8" max="8" width="5.625" style="2" customWidth="1"/>
    <col min="9" max="9" width="5.25" style="2" customWidth="1"/>
    <col min="10" max="10" width="6.375" style="2" customWidth="1"/>
    <col min="11" max="11" width="8" style="2" customWidth="1"/>
    <col min="12" max="12" width="5.625" style="2" customWidth="1"/>
    <col min="13" max="13" width="4.25" style="2" customWidth="1"/>
    <col min="14" max="14" width="5.625" style="2" customWidth="1"/>
    <col min="15" max="15" width="4.625" style="2" customWidth="1"/>
    <col min="16" max="16" width="5" style="2" customWidth="1"/>
    <col min="17" max="17" width="7.75" style="2" customWidth="1"/>
    <col min="18" max="18" width="5.625" style="2" customWidth="1"/>
    <col min="19" max="19" width="8.75" style="2" customWidth="1"/>
    <col min="20" max="20" width="9.25" style="2" customWidth="1"/>
    <col min="21" max="21" width="7.25" style="2" customWidth="1"/>
    <col min="22" max="22" width="6" style="2" customWidth="1"/>
    <col min="23" max="16384" width="9" style="2"/>
  </cols>
  <sheetData>
    <row r="1" spans="1:22" ht="33" customHeight="1" x14ac:dyDescent="0.15">
      <c r="A1" s="17" t="s">
        <v>50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s="1" customFormat="1" ht="21" customHeight="1" x14ac:dyDescent="0.15">
      <c r="B2" s="1" t="s">
        <v>0</v>
      </c>
      <c r="C2" s="14" t="s">
        <v>40</v>
      </c>
      <c r="G2" s="19" t="s">
        <v>1</v>
      </c>
      <c r="H2" s="19"/>
      <c r="N2" s="19" t="s">
        <v>2</v>
      </c>
      <c r="O2" s="19"/>
      <c r="T2" s="20" t="s">
        <v>3</v>
      </c>
      <c r="U2" s="21"/>
      <c r="V2" s="21"/>
    </row>
    <row r="3" spans="1:22" s="1" customFormat="1" ht="27" customHeight="1" x14ac:dyDescent="0.15">
      <c r="A3" s="24" t="s">
        <v>4</v>
      </c>
      <c r="B3" s="24" t="s">
        <v>5</v>
      </c>
      <c r="C3" s="24" t="s">
        <v>6</v>
      </c>
      <c r="D3" s="24" t="s">
        <v>7</v>
      </c>
      <c r="E3" s="24" t="s">
        <v>8</v>
      </c>
      <c r="F3" s="27" t="s">
        <v>41</v>
      </c>
      <c r="G3" s="3" t="s">
        <v>9</v>
      </c>
      <c r="H3" s="22" t="s">
        <v>10</v>
      </c>
      <c r="I3" s="23"/>
      <c r="J3" s="23"/>
      <c r="K3" s="24" t="s">
        <v>11</v>
      </c>
      <c r="L3" s="24"/>
      <c r="M3" s="24"/>
      <c r="N3" s="24"/>
      <c r="O3" s="24"/>
      <c r="P3" s="24"/>
      <c r="Q3" s="24" t="s">
        <v>12</v>
      </c>
      <c r="R3" s="24"/>
      <c r="S3" s="24" t="s">
        <v>13</v>
      </c>
      <c r="T3" s="24" t="s">
        <v>14</v>
      </c>
      <c r="U3" s="24" t="s">
        <v>15</v>
      </c>
      <c r="V3" s="24" t="s">
        <v>16</v>
      </c>
    </row>
    <row r="4" spans="1:22" s="1" customFormat="1" ht="27.75" customHeight="1" x14ac:dyDescent="0.15">
      <c r="A4" s="24"/>
      <c r="B4" s="24"/>
      <c r="C4" s="24"/>
      <c r="D4" s="24"/>
      <c r="E4" s="24"/>
      <c r="F4" s="24"/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  <c r="P4" s="3" t="s">
        <v>26</v>
      </c>
      <c r="Q4" s="3" t="s">
        <v>21</v>
      </c>
      <c r="R4" s="3" t="s">
        <v>22</v>
      </c>
      <c r="S4" s="24"/>
      <c r="T4" s="24"/>
      <c r="U4" s="24"/>
      <c r="V4" s="24"/>
    </row>
    <row r="5" spans="1:22" s="1" customFormat="1" ht="68.25" customHeight="1" x14ac:dyDescent="0.15">
      <c r="A5" s="3">
        <v>1</v>
      </c>
      <c r="B5" s="3" t="s">
        <v>27</v>
      </c>
      <c r="C5" s="10" t="s">
        <v>44</v>
      </c>
      <c r="D5" s="9" t="s">
        <v>51</v>
      </c>
      <c r="E5" s="33" t="s">
        <v>53</v>
      </c>
      <c r="F5" s="10" t="s">
        <v>45</v>
      </c>
      <c r="G5" s="5">
        <v>0.51</v>
      </c>
      <c r="H5" s="10" t="s">
        <v>46</v>
      </c>
      <c r="I5" s="3" t="s">
        <v>28</v>
      </c>
      <c r="J5" s="15">
        <f>L5/0.92</f>
        <v>22.051956521739129</v>
      </c>
      <c r="K5" s="3">
        <v>39780</v>
      </c>
      <c r="L5" s="13">
        <f>K5*G5/1000</f>
        <v>20.287800000000001</v>
      </c>
      <c r="M5" s="3">
        <v>85</v>
      </c>
      <c r="N5" s="3">
        <v>468</v>
      </c>
      <c r="O5" s="3">
        <v>18</v>
      </c>
      <c r="P5" s="3">
        <v>26</v>
      </c>
      <c r="Q5" s="3">
        <v>39900</v>
      </c>
      <c r="R5" s="13">
        <f>Q5*G5/1000</f>
        <v>20.349</v>
      </c>
      <c r="S5" s="12" t="s">
        <v>54</v>
      </c>
      <c r="T5" s="33" t="s">
        <v>56</v>
      </c>
      <c r="U5" s="33" t="s">
        <v>39</v>
      </c>
      <c r="V5" s="33" t="s">
        <v>47</v>
      </c>
    </row>
    <row r="6" spans="1:22" s="1" customFormat="1" ht="68.25" customHeight="1" x14ac:dyDescent="0.15">
      <c r="A6" s="3">
        <v>2</v>
      </c>
      <c r="B6" s="3" t="s">
        <v>27</v>
      </c>
      <c r="C6" s="10" t="s">
        <v>44</v>
      </c>
      <c r="D6" s="9" t="s">
        <v>52</v>
      </c>
      <c r="E6" s="34"/>
      <c r="F6" s="10" t="s">
        <v>45</v>
      </c>
      <c r="G6" s="5">
        <v>0.51</v>
      </c>
      <c r="H6" s="10" t="s">
        <v>46</v>
      </c>
      <c r="I6" s="3" t="s">
        <v>28</v>
      </c>
      <c r="J6" s="15">
        <f>L6/0.92</f>
        <v>22.051956521739129</v>
      </c>
      <c r="K6" s="3">
        <v>39780</v>
      </c>
      <c r="L6" s="13">
        <f>K6*G6/1000</f>
        <v>20.287800000000001</v>
      </c>
      <c r="M6" s="3">
        <v>85</v>
      </c>
      <c r="N6" s="3">
        <v>468</v>
      </c>
      <c r="O6" s="3">
        <v>18</v>
      </c>
      <c r="P6" s="3">
        <v>26</v>
      </c>
      <c r="Q6" s="3">
        <v>39900</v>
      </c>
      <c r="R6" s="13">
        <f>Q6*G6/1000</f>
        <v>20.349</v>
      </c>
      <c r="S6" s="12" t="s">
        <v>55</v>
      </c>
      <c r="T6" s="34"/>
      <c r="U6" s="34"/>
      <c r="V6" s="34"/>
    </row>
    <row r="7" spans="1:22" s="1" customFormat="1" ht="16.5" customHeight="1" x14ac:dyDescent="0.15">
      <c r="A7" s="29" t="s">
        <v>29</v>
      </c>
      <c r="B7" s="30"/>
      <c r="C7" s="25"/>
      <c r="D7" s="25"/>
      <c r="E7" s="25"/>
      <c r="F7" s="25"/>
      <c r="G7" s="25"/>
      <c r="H7" s="25"/>
      <c r="I7" s="25"/>
      <c r="J7" s="11">
        <f>SUM(J5:J6)</f>
        <v>44.103913043478258</v>
      </c>
      <c r="K7" s="11">
        <f t="shared" ref="K7:R7" si="0">SUM(K5:K6)</f>
        <v>79560</v>
      </c>
      <c r="L7" s="11">
        <f t="shared" si="0"/>
        <v>40.575600000000001</v>
      </c>
      <c r="M7" s="4"/>
      <c r="N7" s="11">
        <f t="shared" si="0"/>
        <v>936</v>
      </c>
      <c r="O7" s="4"/>
      <c r="P7" s="11">
        <f t="shared" si="0"/>
        <v>52</v>
      </c>
      <c r="Q7" s="11">
        <f t="shared" si="0"/>
        <v>79800</v>
      </c>
      <c r="R7" s="11">
        <f t="shared" si="0"/>
        <v>40.698</v>
      </c>
      <c r="S7" s="4"/>
      <c r="T7" s="33" t="s">
        <v>43</v>
      </c>
      <c r="U7" s="4"/>
      <c r="V7" s="4"/>
    </row>
    <row r="8" spans="1:22" s="1" customFormat="1" ht="16.5" customHeight="1" x14ac:dyDescent="0.15">
      <c r="A8" s="31"/>
      <c r="B8" s="32"/>
      <c r="C8" s="26"/>
      <c r="D8" s="26"/>
      <c r="E8" s="26"/>
      <c r="F8" s="26"/>
      <c r="G8" s="26"/>
      <c r="H8" s="26"/>
      <c r="I8" s="26"/>
      <c r="J8" s="6" t="s">
        <v>22</v>
      </c>
      <c r="K8" s="16" t="s">
        <v>42</v>
      </c>
      <c r="L8" s="6" t="s">
        <v>22</v>
      </c>
      <c r="M8" s="6"/>
      <c r="N8" s="6" t="s">
        <v>24</v>
      </c>
      <c r="O8" s="6"/>
      <c r="P8" s="6" t="s">
        <v>26</v>
      </c>
      <c r="Q8" s="16" t="s">
        <v>42</v>
      </c>
      <c r="R8" s="7" t="s">
        <v>22</v>
      </c>
      <c r="S8" s="6"/>
      <c r="T8" s="34"/>
      <c r="U8" s="6"/>
      <c r="V8" s="6"/>
    </row>
    <row r="10" spans="1:22" s="1" customFormat="1" ht="19.5" customHeight="1" x14ac:dyDescent="0.15">
      <c r="B10" s="1" t="s">
        <v>30</v>
      </c>
      <c r="Q10" s="14"/>
      <c r="R10" s="8"/>
    </row>
    <row r="11" spans="1:22" s="1" customFormat="1" ht="19.5" customHeight="1" x14ac:dyDescent="0.15">
      <c r="A11" s="1" t="s">
        <v>31</v>
      </c>
      <c r="B11" s="28" t="s">
        <v>32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s="1" customFormat="1" ht="19.5" customHeight="1" x14ac:dyDescent="0.15">
      <c r="B12" s="28" t="s">
        <v>33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 spans="1:22" s="1" customFormat="1" ht="19.5" customHeight="1" x14ac:dyDescent="0.15">
      <c r="A13" s="1" t="s">
        <v>34</v>
      </c>
      <c r="B13" s="28" t="s">
        <v>35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 spans="1:22" s="1" customFormat="1" ht="19.5" customHeight="1" x14ac:dyDescent="0.15">
      <c r="A14" s="1" t="s">
        <v>36</v>
      </c>
      <c r="B14" s="28" t="s">
        <v>37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 spans="1:22" s="14" customFormat="1" ht="19.5" customHeight="1" x14ac:dyDescent="0.15">
      <c r="A15" s="14" t="s">
        <v>48</v>
      </c>
      <c r="B15" s="36" t="s">
        <v>49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 spans="1:22" ht="20.25" customHeight="1" x14ac:dyDescent="0.15">
      <c r="C16" s="28" t="s">
        <v>38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</row>
    <row r="17" spans="17:22" ht="22.5" x14ac:dyDescent="0.15">
      <c r="Q17" s="35">
        <v>46114</v>
      </c>
      <c r="R17" s="35"/>
      <c r="S17" s="35"/>
      <c r="T17" s="35"/>
      <c r="U17" s="35"/>
      <c r="V17" s="35"/>
    </row>
  </sheetData>
  <mergeCells count="37">
    <mergeCell ref="E5:E6"/>
    <mergeCell ref="T5:T6"/>
    <mergeCell ref="B14:V14"/>
    <mergeCell ref="C16:M16"/>
    <mergeCell ref="Q17:V17"/>
    <mergeCell ref="B12:V12"/>
    <mergeCell ref="B13:V13"/>
    <mergeCell ref="B15:V15"/>
    <mergeCell ref="E7:E8"/>
    <mergeCell ref="F3:F4"/>
    <mergeCell ref="F7:F8"/>
    <mergeCell ref="B11:V11"/>
    <mergeCell ref="G7:G8"/>
    <mergeCell ref="H7:H8"/>
    <mergeCell ref="I7:I8"/>
    <mergeCell ref="B3:B4"/>
    <mergeCell ref="C3:C4"/>
    <mergeCell ref="C7:C8"/>
    <mergeCell ref="D3:D4"/>
    <mergeCell ref="D7:D8"/>
    <mergeCell ref="A7:B8"/>
    <mergeCell ref="T7:T8"/>
    <mergeCell ref="V5:V6"/>
    <mergeCell ref="U5:U6"/>
    <mergeCell ref="A1:V1"/>
    <mergeCell ref="G2:H2"/>
    <mergeCell ref="N2:O2"/>
    <mergeCell ref="T2:V2"/>
    <mergeCell ref="H3:J3"/>
    <mergeCell ref="K3:P3"/>
    <mergeCell ref="Q3:R3"/>
    <mergeCell ref="S3:S4"/>
    <mergeCell ref="T3:T4"/>
    <mergeCell ref="U3:U4"/>
    <mergeCell ref="V3:V4"/>
    <mergeCell ref="E3:E4"/>
    <mergeCell ref="A3:A4"/>
  </mergeCells>
  <phoneticPr fontId="7" type="noConversion"/>
  <pageMargins left="0.70069444444444495" right="0.70069444444444495" top="0.75138888888888899" bottom="0.75138888888888899" header="0.29861111111111099" footer="0.29861111111111099"/>
  <pageSetup paperSize="9" scale="91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2025-05-07T03:13:06Z</cp:lastPrinted>
  <dcterms:created xsi:type="dcterms:W3CDTF">2006-09-13T11:21:00Z</dcterms:created>
  <dcterms:modified xsi:type="dcterms:W3CDTF">2026-04-07T03:44:50Z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6AF829705AC1456B882EAD342E3F8FD3_13</vt:lpwstr>
  </property>
  <property fmtid="{D5CDD505-2E9C-101B-9397-08002B2CF9AE}" pid="3" name="KSOProductBuildVer">
    <vt:lpwstr>2052-12.1.0.17133</vt:lpwstr>
  </property>
</Properties>
</file>