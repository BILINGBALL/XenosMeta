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32718C24-4582-4D30-A0B1-D2AABA78E4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R7" i="1"/>
  <c r="M7" i="1"/>
  <c r="L7" i="1"/>
  <c r="S6" i="1"/>
  <c r="M6" i="1"/>
  <c r="K6" i="1"/>
  <c r="S5" i="1"/>
  <c r="M5" i="1"/>
  <c r="K5" i="1"/>
</calcChain>
</file>

<file path=xl/sharedStrings.xml><?xml version="1.0" encoding="utf-8"?>
<sst xmlns="http://schemas.openxmlformats.org/spreadsheetml/2006/main" count="81" uniqueCount="73">
  <si>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</si>
  <si>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</si>
  <si>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</si>
  <si>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</si>
  <si>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</si>
  <si>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</si>
  <si>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</si>
  <si>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</si>
  <si>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</si>
  <si>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</si>
  <si>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</si>
  <si>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</si>
  <si>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</si>
  <si>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</si>
  <si>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</si>
  <si>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</si>
  <si>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</si>
  <si>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</si>
  <si>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</si>
  <si>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</si>
  <si>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</si>
  <si>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</si>
  <si>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</si>
  <si>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</si>
  <si>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</si>
  <si>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</si>
  <si>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</si>
  <si>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</si>
  <si>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</si>
  <si>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24 X 165</t>
  </si>
  <si>
    <t>客户图纸
5.6级</t>
  </si>
  <si>
    <t>35K</t>
  </si>
  <si>
    <t>Φ24</t>
  </si>
  <si>
    <t>热镀锌</t>
  </si>
  <si>
    <t>编织袋+免熏蒸木箱</t>
  </si>
  <si>
    <t>ACC-Ss8-165-3_A</t>
  </si>
  <si>
    <t>弹簧
垫圈</t>
  </si>
  <si>
    <t>FE6</t>
  </si>
  <si>
    <t>ACC-FE6-01_A</t>
  </si>
  <si>
    <t>38Si7</t>
  </si>
  <si>
    <t>合计</t>
  </si>
  <si>
    <t>40000
套</t>
  </si>
  <si>
    <t>25
吨</t>
  </si>
  <si>
    <t>1600
袋</t>
  </si>
  <si>
    <t>45
箱</t>
  </si>
  <si>
    <t>40200
套</t>
  </si>
  <si>
    <t>25.1
吨</t>
  </si>
  <si>
    <t>详见图纸</t>
  </si>
  <si>
    <t>说明：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</si>
  <si>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</si>
  <si>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</si>
  <si>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</si>
  <si>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</si>
  <si>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</si>
  <si>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</si>
  <si>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</si>
  <si>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</si>
  <si>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family val="3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family val="3"/>
        <charset val="134"/>
        <scheme val="minor"/>
      </rPr>
      <t>1100×800×550mm</t>
    </r>
  </si>
  <si>
    <t>分发：总经理、总经办、品管部、生产部</t>
  </si>
  <si>
    <t>高蕾</t>
    <phoneticPr fontId="8" type="noConversion"/>
  </si>
  <si>
    <t>热镀锌</t>
    <phoneticPr fontId="8" type="noConversion"/>
  </si>
  <si>
    <t>ACC-Ss8_F</t>
    <phoneticPr fontId="8" type="noConversion"/>
  </si>
  <si>
    <t>外购
与螺纹道钉
装配、铆定</t>
    <phoneticPr fontId="8" type="noConversion"/>
  </si>
  <si>
    <t>25.2
吨</t>
    <phoneticPr fontId="8" type="noConversion"/>
  </si>
  <si>
    <t>3  月  份  销  售  计  划 6</t>
    <phoneticPr fontId="8" type="noConversion"/>
  </si>
  <si>
    <t>260313-1</t>
    <phoneticPr fontId="8" type="noConversion"/>
  </si>
  <si>
    <t>260313-2</t>
  </si>
  <si>
    <t>260313-3</t>
  </si>
  <si>
    <t>2026-4-20</t>
    <phoneticPr fontId="8" type="noConversion"/>
  </si>
  <si>
    <t>DEL
165-1
SDL 26
Ss8</t>
    <phoneticPr fontId="8" type="noConversion"/>
  </si>
  <si>
    <t>DEL
165
SDL 26
Ss8</t>
    <phoneticPr fontId="8" type="noConversion"/>
  </si>
  <si>
    <t>S26</t>
    <phoneticPr fontId="8" type="noConversion"/>
  </si>
  <si>
    <t>有库存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</si>
</sst>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yyyy&quot;年&quot;m&quot;月&quot;d&quot;日&quot;;@"/>
  </numFmts>
  <fonts count="10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77" fontId="0" fillId="0" borderId="0" xfId="0" applyNumberForma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right" wrapText="1"/>
    </xf>
    <xf numFmtId="14" fontId="5" fillId="0" borderId="0" xfId="0" applyNumberFormat="1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"/>
  <sheetViews>
    <sheetView tabSelected="1" topLeftCell="A5" workbookViewId="0">
      <selection activeCell="B5" sqref="B5:W7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4" width="9.125" style="2" customWidth="1"/>
    <col min="5" max="5" width="5.25" style="2" customWidth="1"/>
    <col min="6" max="6" width="8" style="2" customWidth="1"/>
    <col min="7" max="7" width="6.25" style="2" customWidth="1"/>
    <col min="8" max="9" width="5.625" style="2" customWidth="1"/>
    <col min="10" max="10" width="5.375" style="2" customWidth="1"/>
    <col min="11" max="11" width="6.125" style="2" customWidth="1"/>
    <col min="12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4.75" style="2" customWidth="1"/>
    <col min="21" max="21" width="6.375" style="2" customWidth="1"/>
    <col min="22" max="22" width="6.5" style="2" customWidth="1"/>
    <col min="23" max="23" width="6.125" style="2" customWidth="1"/>
    <col min="24" max="16384" width="9" style="2"/>
  </cols>
  <sheetData>
    <row r="1" spans="1:23" ht="33" customHeight="1" x14ac:dyDescent="0.15">
      <c r="A1" s="26" t="s">
        <v>64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</row>
    <row r="2" spans="1:23" s="1" customFormat="1" ht="18" customHeight="1" x14ac:dyDescent="0.15">
      <c r="B2" s="3" t="s">
        <v>0</v>
      </c>
      <c r="C2" s="3" t="s">
        <v>59</v>
      </c>
      <c r="D2" s="3"/>
      <c r="E2" s="3"/>
      <c r="F2" s="3"/>
      <c r="G2" s="3"/>
      <c r="H2" s="3"/>
      <c r="I2" s="27" t="s">
        <v>1</v>
      </c>
      <c r="J2" s="27"/>
      <c r="K2" s="3"/>
      <c r="L2" s="3"/>
      <c r="M2" s="3"/>
      <c r="N2" s="28" t="s">
        <v>2</v>
      </c>
      <c r="O2" s="28"/>
      <c r="P2" s="3"/>
      <c r="Q2" s="3"/>
      <c r="R2" s="3"/>
      <c r="S2" s="3"/>
      <c r="T2" s="29"/>
      <c r="U2" s="30"/>
      <c r="V2" s="30"/>
      <c r="W2" s="30"/>
    </row>
    <row r="3" spans="1:23" s="1" customFormat="1" ht="29.25" customHeight="1" x14ac:dyDescent="0.15">
      <c r="A3" s="14" t="s">
        <v>3</v>
      </c>
      <c r="B3" s="14" t="s">
        <v>4</v>
      </c>
      <c r="C3" s="14" t="s">
        <v>5</v>
      </c>
      <c r="D3" s="14" t="s">
        <v>6</v>
      </c>
      <c r="E3" s="14" t="s">
        <v>7</v>
      </c>
      <c r="F3" s="14" t="s">
        <v>8</v>
      </c>
      <c r="G3" s="14" t="s">
        <v>9</v>
      </c>
      <c r="H3" s="4" t="s">
        <v>10</v>
      </c>
      <c r="I3" s="14" t="s">
        <v>11</v>
      </c>
      <c r="J3" s="14"/>
      <c r="K3" s="14"/>
      <c r="L3" s="14" t="s">
        <v>12</v>
      </c>
      <c r="M3" s="14"/>
      <c r="N3" s="14"/>
      <c r="O3" s="14"/>
      <c r="P3" s="14"/>
      <c r="Q3" s="14"/>
      <c r="R3" s="14" t="s">
        <v>13</v>
      </c>
      <c r="S3" s="14"/>
      <c r="T3" s="14" t="s">
        <v>14</v>
      </c>
      <c r="U3" s="14" t="s">
        <v>15</v>
      </c>
      <c r="V3" s="14" t="s">
        <v>16</v>
      </c>
      <c r="W3" s="14" t="s">
        <v>17</v>
      </c>
    </row>
    <row r="4" spans="1:23" s="1" customFormat="1" ht="29.25" customHeight="1" x14ac:dyDescent="0.15">
      <c r="A4" s="14"/>
      <c r="B4" s="14"/>
      <c r="C4" s="14"/>
      <c r="D4" s="14"/>
      <c r="E4" s="14"/>
      <c r="F4" s="14"/>
      <c r="G4" s="14"/>
      <c r="H4" s="4" t="s">
        <v>18</v>
      </c>
      <c r="I4" s="4" t="s">
        <v>19</v>
      </c>
      <c r="J4" s="4" t="s">
        <v>20</v>
      </c>
      <c r="K4" s="8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4" t="s">
        <v>22</v>
      </c>
      <c r="S4" s="4" t="s">
        <v>23</v>
      </c>
      <c r="T4" s="14"/>
      <c r="U4" s="14"/>
      <c r="V4" s="14"/>
      <c r="W4" s="14"/>
    </row>
    <row r="5" spans="1:23" s="1" customFormat="1" ht="60" customHeight="1" x14ac:dyDescent="0.15">
      <c r="A5" s="5">
        <v>1</v>
      </c>
      <c r="B5" s="4" t="s">
        <v>28</v>
      </c>
      <c r="C5" s="4" t="s">
        <v>29</v>
      </c>
      <c r="D5" s="4" t="s">
        <v>65</v>
      </c>
      <c r="E5" s="6">
        <v>9560</v>
      </c>
      <c r="F5" s="4" t="s">
        <v>30</v>
      </c>
      <c r="G5" s="4" t="s">
        <v>61</v>
      </c>
      <c r="H5" s="4">
        <v>0.57999999999999996</v>
      </c>
      <c r="I5" s="4" t="s">
        <v>31</v>
      </c>
      <c r="J5" s="4" t="s">
        <v>32</v>
      </c>
      <c r="K5" s="12">
        <f>M5/0.92</f>
        <v>12.6086956521739</v>
      </c>
      <c r="L5" s="4">
        <v>20000</v>
      </c>
      <c r="M5" s="9">
        <f>H5*L5/1000</f>
        <v>11.6</v>
      </c>
      <c r="N5" s="10">
        <v>25</v>
      </c>
      <c r="O5" s="10">
        <v>800</v>
      </c>
      <c r="P5" s="13">
        <v>40</v>
      </c>
      <c r="Q5" s="10">
        <v>20</v>
      </c>
      <c r="R5" s="4">
        <v>20100</v>
      </c>
      <c r="S5" s="9">
        <f>H5*R5/1000</f>
        <v>11.657999999999999</v>
      </c>
      <c r="T5" s="25" t="s">
        <v>68</v>
      </c>
      <c r="U5" s="8" t="s">
        <v>69</v>
      </c>
      <c r="V5" s="11" t="s">
        <v>60</v>
      </c>
      <c r="W5" s="15" t="s">
        <v>34</v>
      </c>
    </row>
    <row r="6" spans="1:23" s="1" customFormat="1" ht="57" customHeight="1" x14ac:dyDescent="0.15">
      <c r="A6" s="16">
        <v>2</v>
      </c>
      <c r="B6" s="4" t="s">
        <v>28</v>
      </c>
      <c r="C6" s="4" t="s">
        <v>29</v>
      </c>
      <c r="D6" s="4" t="s">
        <v>66</v>
      </c>
      <c r="E6" s="14">
        <v>9561</v>
      </c>
      <c r="F6" s="4" t="s">
        <v>30</v>
      </c>
      <c r="G6" s="4" t="s">
        <v>35</v>
      </c>
      <c r="H6" s="4">
        <v>0.57999999999999996</v>
      </c>
      <c r="I6" s="4" t="s">
        <v>31</v>
      </c>
      <c r="J6" s="4" t="s">
        <v>32</v>
      </c>
      <c r="K6" s="12">
        <f>M6/0.92</f>
        <v>12.6086956521739</v>
      </c>
      <c r="L6" s="4">
        <v>20000</v>
      </c>
      <c r="M6" s="9">
        <f>H6*L6/1000</f>
        <v>11.6</v>
      </c>
      <c r="N6" s="15">
        <v>25</v>
      </c>
      <c r="O6" s="15">
        <v>800</v>
      </c>
      <c r="P6" s="23">
        <v>32</v>
      </c>
      <c r="Q6" s="15">
        <v>25</v>
      </c>
      <c r="R6" s="4">
        <v>20100</v>
      </c>
      <c r="S6" s="9">
        <f>H6*R6/1000</f>
        <v>11.657999999999999</v>
      </c>
      <c r="T6" s="25"/>
      <c r="U6" s="8" t="s">
        <v>70</v>
      </c>
      <c r="V6" s="11" t="s">
        <v>33</v>
      </c>
      <c r="W6" s="16"/>
    </row>
    <row r="7" spans="1:23" s="1" customFormat="1" ht="42" customHeight="1" x14ac:dyDescent="0.15">
      <c r="A7" s="22"/>
      <c r="B7" s="5" t="s">
        <v>36</v>
      </c>
      <c r="C7" s="5" t="s">
        <v>37</v>
      </c>
      <c r="D7" s="4" t="s">
        <v>67</v>
      </c>
      <c r="E7" s="14"/>
      <c r="F7" s="7"/>
      <c r="G7" s="4" t="s">
        <v>38</v>
      </c>
      <c r="H7" s="5">
        <v>0.09</v>
      </c>
      <c r="I7" s="4" t="s">
        <v>39</v>
      </c>
      <c r="J7" s="19" t="s">
        <v>62</v>
      </c>
      <c r="K7" s="20"/>
      <c r="L7" s="5">
        <f>L6</f>
        <v>20000</v>
      </c>
      <c r="M7" s="9">
        <f>H7*L7/1000</f>
        <v>1.8</v>
      </c>
      <c r="N7" s="22"/>
      <c r="O7" s="22"/>
      <c r="P7" s="24"/>
      <c r="Q7" s="22"/>
      <c r="R7" s="5">
        <f>R6</f>
        <v>20100</v>
      </c>
      <c r="S7" s="9">
        <f>H7*R7/1000</f>
        <v>1.8089999999999999</v>
      </c>
      <c r="T7" s="25"/>
      <c r="U7" s="5" t="s">
        <v>71</v>
      </c>
      <c r="V7" s="11" t="s">
        <v>33</v>
      </c>
      <c r="W7" s="16"/>
    </row>
    <row r="8" spans="1:23" s="1" customFormat="1" ht="34.5" customHeight="1" x14ac:dyDescent="0.15">
      <c r="A8" s="14" t="s">
        <v>40</v>
      </c>
      <c r="B8" s="14"/>
      <c r="C8" s="4"/>
      <c r="D8" s="4"/>
      <c r="E8" s="4"/>
      <c r="F8" s="4"/>
      <c r="G8" s="4"/>
      <c r="H8" s="4"/>
      <c r="I8" s="4"/>
      <c r="J8" s="4"/>
      <c r="K8" s="4" t="s">
        <v>63</v>
      </c>
      <c r="L8" s="4" t="s">
        <v>41</v>
      </c>
      <c r="M8" s="4" t="s">
        <v>42</v>
      </c>
      <c r="N8" s="4"/>
      <c r="O8" s="4" t="s">
        <v>43</v>
      </c>
      <c r="P8" s="4"/>
      <c r="Q8" s="4" t="s">
        <v>44</v>
      </c>
      <c r="R8" s="4" t="s">
        <v>45</v>
      </c>
      <c r="S8" s="4" t="s">
        <v>46</v>
      </c>
      <c r="T8" s="4"/>
      <c r="U8" s="4" t="s">
        <v>47</v>
      </c>
      <c r="V8" s="4"/>
      <c r="W8" s="4"/>
    </row>
    <row r="9" spans="1:23" ht="26.1" customHeight="1" x14ac:dyDescent="0.15">
      <c r="N9" s="21"/>
      <c r="O9" s="21"/>
      <c r="P9" s="21"/>
      <c r="Q9" s="21"/>
      <c r="R9" s="21"/>
      <c r="S9" s="21"/>
      <c r="T9" s="21"/>
      <c r="U9" s="21"/>
      <c r="V9" s="21"/>
      <c r="W9" s="21"/>
    </row>
    <row r="10" spans="1:23" s="1" customFormat="1" ht="19.5" customHeight="1" x14ac:dyDescent="0.15">
      <c r="B10" s="1" t="s">
        <v>48</v>
      </c>
      <c r="T10" s="31" t="s">
        <v>72</v>
      </c>
    </row>
    <row r="11" spans="1:23" s="1" customFormat="1" ht="19.5" customHeight="1" x14ac:dyDescent="0.15">
      <c r="A11" s="1" t="s">
        <v>49</v>
      </c>
      <c r="B11" s="17" t="s">
        <v>50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spans="1:23" s="1" customFormat="1" ht="19.5" customHeight="1" x14ac:dyDescent="0.15">
      <c r="B12" s="17" t="s">
        <v>51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s="1" customFormat="1" ht="19.5" customHeight="1" x14ac:dyDescent="0.15">
      <c r="A13" s="1" t="s">
        <v>52</v>
      </c>
      <c r="B13" s="17" t="s">
        <v>53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spans="1:23" s="1" customFormat="1" ht="19.5" customHeight="1" x14ac:dyDescent="0.15">
      <c r="A14" s="1" t="s">
        <v>54</v>
      </c>
      <c r="B14" s="17" t="s">
        <v>55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</row>
    <row r="15" spans="1:23" s="1" customFormat="1" ht="19.5" customHeight="1" x14ac:dyDescent="0.15">
      <c r="A15" s="1" t="s">
        <v>56</v>
      </c>
      <c r="B15" s="17" t="s">
        <v>57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</row>
    <row r="16" spans="1:23" ht="42" customHeight="1" x14ac:dyDescent="0.15">
      <c r="T16" s="18">
        <v>46094</v>
      </c>
      <c r="U16" s="18"/>
      <c r="V16" s="18"/>
      <c r="W16" s="18"/>
    </row>
    <row r="17" spans="3:14" ht="20.25" customHeight="1" x14ac:dyDescent="0.15">
      <c r="C17" s="17" t="s">
        <v>58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</sheetData>
  <mergeCells count="36">
    <mergeCell ref="A1:W1"/>
    <mergeCell ref="I2:J2"/>
    <mergeCell ref="N2:O2"/>
    <mergeCell ref="T2:W2"/>
    <mergeCell ref="I3:K3"/>
    <mergeCell ref="L3:Q3"/>
    <mergeCell ref="R3:S3"/>
    <mergeCell ref="A3:A4"/>
    <mergeCell ref="B3:B4"/>
    <mergeCell ref="C3:C4"/>
    <mergeCell ref="D3:D4"/>
    <mergeCell ref="E3:E4"/>
    <mergeCell ref="F3:F4"/>
    <mergeCell ref="G3:G4"/>
    <mergeCell ref="T3:T4"/>
    <mergeCell ref="U3:U4"/>
    <mergeCell ref="B15:W15"/>
    <mergeCell ref="T16:W16"/>
    <mergeCell ref="C17:N17"/>
    <mergeCell ref="J7:K7"/>
    <mergeCell ref="A8:B8"/>
    <mergeCell ref="N9:W9"/>
    <mergeCell ref="B11:W11"/>
    <mergeCell ref="B12:W12"/>
    <mergeCell ref="A6:A7"/>
    <mergeCell ref="E6:E7"/>
    <mergeCell ref="N6:N7"/>
    <mergeCell ref="O6:O7"/>
    <mergeCell ref="P6:P7"/>
    <mergeCell ref="Q6:Q7"/>
    <mergeCell ref="T5:T7"/>
    <mergeCell ref="V3:V4"/>
    <mergeCell ref="W3:W4"/>
    <mergeCell ref="W5:W7"/>
    <mergeCell ref="B13:W13"/>
    <mergeCell ref="B14:W14"/>
  </mergeCells>
  <phoneticPr fontId="8" type="noConversion"/>
  <pageMargins left="0.7" right="0.7" top="0.75" bottom="0.75" header="0.3" footer="0.3"/>
  <pageSetup paperSize="9" scale="95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2026-03-13T03:22:03Z</cp:lastPrinted>
  <dcterms:created xsi:type="dcterms:W3CDTF">2006-09-13T11:21:00Z</dcterms:created>
  <dcterms:modified xsi:type="dcterms:W3CDTF">2026-03-13T03:22:27Z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1A77189912D641F882C4915A1CC6F724_13</vt:lpwstr>
  </property>
  <property fmtid="{D5CDD505-2E9C-101B-9397-08002B2CF9AE}" pid="3" name="KSOProductBuildVer">
    <vt:lpwstr>2052-12.1.0.16729</vt:lpwstr>
  </property>
</Properties>
</file>