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DB31ECD-1D65-4AB3-8177-C944717038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Q7" i="1"/>
  <c r="O7" i="1"/>
  <c r="M7" i="1"/>
  <c r="S6" i="1" l="1"/>
  <c r="M6" i="1"/>
  <c r="K6" i="1" l="1"/>
  <c r="K7" i="1" s="1"/>
  <c r="L7" i="1"/>
</calcChain>
</file>

<file path=xl/sharedStrings.xml><?xml version="1.0" encoding="utf-8"?>
<sst xmlns="http://schemas.openxmlformats.org/spreadsheetml/2006/main" count="67" uniqueCount="58">
  <si>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</si>
  <si>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</si>
  <si>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</si>
  <si>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</si>
  <si>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</si>
  <si>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</si>
  <si>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</si>
  <si>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</si>
  <si>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</si>
  <si>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</si>
  <si>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</si>
  <si>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</si>
  <si>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</si>
  <si>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</si>
  <si>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</si>
  <si>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</si>
  <si>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</si>
  <si>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</si>
  <si>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</si>
  <si>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</si>
  <si>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</si>
  <si>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</si>
  <si>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</si>
  <si>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</si>
  <si>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</si>
  <si>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</si>
  <si>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</si>
  <si>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</si>
  <si>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</si>
  <si>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</si>
  <si>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8.8级</t>
  </si>
  <si>
    <t>40Cr</t>
  </si>
  <si>
    <t>Φ24</t>
  </si>
  <si>
    <t>合计</t>
  </si>
  <si>
    <t>详见
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</si>
  <si>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</si>
  <si>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</si>
  <si>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</si>
  <si>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</si>
  <si>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2、</t>
  </si>
  <si>
    <t>生产部门按生产工艺生产，加强自检，严格质量管理。技术要求及验收标准按客户《技术协议》规定执行。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</si>
  <si>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</si>
  <si>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</si>
  <si>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</si>
  <si>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</si>
  <si>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</si>
  <si>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6  月  份  销  售  计  划  10</t>
    <phoneticPr fontId="11" type="noConversion"/>
  </si>
  <si>
    <t>24 x 65</t>
    <phoneticPr fontId="11" type="noConversion"/>
  </si>
  <si>
    <t>T型螺栓</t>
    <phoneticPr fontId="11" type="noConversion"/>
  </si>
  <si>
    <t>260610-1</t>
    <phoneticPr fontId="11" type="noConversion"/>
  </si>
  <si>
    <t>FXH0263</t>
    <phoneticPr fontId="11" type="noConversion"/>
  </si>
  <si>
    <t>26N01.D2</t>
    <phoneticPr fontId="11" type="noConversion"/>
  </si>
  <si>
    <t>先提供24件样品，样品确认后批量生产。</t>
    <phoneticPr fontId="11" type="noConversion"/>
  </si>
  <si>
    <t>DR 8.8
26 FR</t>
    <phoneticPr fontId="11" type="noConversion"/>
  </si>
  <si>
    <r>
      <t>渗锌/热浸镀锌
≥45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11" type="noConversion"/>
  </si>
  <si>
    <t>300h中性盐雾试验</t>
    <phoneticPr fontId="11" type="noConversion"/>
  </si>
  <si>
    <t>编织袋+托盘</t>
    <phoneticPr fontId="11" type="noConversion"/>
  </si>
  <si>
    <t>2025-7-15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</si>
</sst>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_ "/>
    <numFmt numFmtId="179" formatCode="[$-F800]dddd\,\ mmmm\ dd\,\ yyyy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center" wrapText="1"/>
    </xf>
    <xf numFmtId="176" fontId="5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177" fontId="5" fillId="0" borderId="3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9" fontId="6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S8" sqref="S8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7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22" t="s">
        <v>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1" customFormat="1" ht="27.75" customHeight="1" x14ac:dyDescent="0.15">
      <c r="B3" s="1" t="s">
        <v>0</v>
      </c>
      <c r="C3" s="1" t="s">
        <v>1</v>
      </c>
      <c r="H3" s="23" t="s">
        <v>2</v>
      </c>
      <c r="I3" s="23"/>
      <c r="O3" s="23" t="s">
        <v>3</v>
      </c>
      <c r="P3" s="23"/>
      <c r="U3" s="24" t="s">
        <v>4</v>
      </c>
      <c r="V3" s="25"/>
      <c r="W3" s="25"/>
    </row>
    <row r="4" spans="1:23" s="1" customFormat="1" ht="27" customHeight="1" x14ac:dyDescent="0.15">
      <c r="A4" s="26" t="s">
        <v>5</v>
      </c>
      <c r="B4" s="26" t="s">
        <v>6</v>
      </c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5" t="s">
        <v>12</v>
      </c>
      <c r="I4" s="26" t="s">
        <v>13</v>
      </c>
      <c r="J4" s="26"/>
      <c r="K4" s="26"/>
      <c r="L4" s="26" t="s">
        <v>14</v>
      </c>
      <c r="M4" s="26"/>
      <c r="N4" s="26"/>
      <c r="O4" s="26"/>
      <c r="P4" s="26"/>
      <c r="Q4" s="26"/>
      <c r="R4" s="26" t="s">
        <v>15</v>
      </c>
      <c r="S4" s="26"/>
      <c r="T4" s="26" t="s">
        <v>16</v>
      </c>
      <c r="U4" s="26" t="s">
        <v>17</v>
      </c>
      <c r="V4" s="26" t="s">
        <v>18</v>
      </c>
      <c r="W4" s="26" t="s">
        <v>19</v>
      </c>
    </row>
    <row r="5" spans="1:23" s="1" customFormat="1" ht="27.75" customHeight="1" x14ac:dyDescent="0.15">
      <c r="A5" s="27"/>
      <c r="B5" s="26"/>
      <c r="C5" s="26"/>
      <c r="D5" s="26"/>
      <c r="E5" s="26"/>
      <c r="F5" s="26"/>
      <c r="G5" s="26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6"/>
      <c r="U5" s="26"/>
      <c r="V5" s="26"/>
      <c r="W5" s="26"/>
    </row>
    <row r="6" spans="1:23" s="1" customFormat="1" ht="54" customHeight="1" x14ac:dyDescent="0.15">
      <c r="A6" s="5">
        <v>1</v>
      </c>
      <c r="B6" s="6" t="s">
        <v>48</v>
      </c>
      <c r="C6" s="5" t="s">
        <v>47</v>
      </c>
      <c r="D6" s="5" t="s">
        <v>49</v>
      </c>
      <c r="E6" s="5" t="s">
        <v>50</v>
      </c>
      <c r="F6" s="5" t="s">
        <v>30</v>
      </c>
      <c r="G6" s="7" t="s">
        <v>51</v>
      </c>
      <c r="H6" s="5">
        <v>0.47</v>
      </c>
      <c r="I6" s="37" t="s">
        <v>31</v>
      </c>
      <c r="J6" s="5" t="s">
        <v>32</v>
      </c>
      <c r="K6" s="14">
        <f>M6/0.95</f>
        <v>9.8947368421052637</v>
      </c>
      <c r="L6" s="5">
        <v>20000</v>
      </c>
      <c r="M6" s="13">
        <f>H6*L6*0.001</f>
        <v>9.4</v>
      </c>
      <c r="N6" s="5">
        <v>50</v>
      </c>
      <c r="O6" s="5">
        <v>400</v>
      </c>
      <c r="P6" s="5">
        <v>40</v>
      </c>
      <c r="Q6" s="5">
        <v>10</v>
      </c>
      <c r="R6" s="5">
        <v>20100</v>
      </c>
      <c r="S6" s="13">
        <f>H6*R6*0.001</f>
        <v>9.447000000000001</v>
      </c>
      <c r="T6" s="39" t="s">
        <v>57</v>
      </c>
      <c r="U6" s="5" t="s">
        <v>53</v>
      </c>
      <c r="V6" s="21" t="s">
        <v>54</v>
      </c>
      <c r="W6" s="38" t="s">
        <v>56</v>
      </c>
    </row>
    <row r="7" spans="1:23" s="2" customFormat="1" ht="21" customHeight="1" x14ac:dyDescent="0.15">
      <c r="A7" s="32" t="s">
        <v>33</v>
      </c>
      <c r="B7" s="33"/>
      <c r="C7" s="8"/>
      <c r="D7" s="8"/>
      <c r="E7" s="8"/>
      <c r="F7" s="9"/>
      <c r="G7" s="8"/>
      <c r="H7" s="8"/>
      <c r="I7" s="8"/>
      <c r="J7" s="8"/>
      <c r="K7" s="20">
        <f>K6</f>
        <v>9.8947368421052637</v>
      </c>
      <c r="L7" s="15">
        <f>SUM(L6:L6)</f>
        <v>20000</v>
      </c>
      <c r="M7" s="15">
        <f>SUM(M6:M6)</f>
        <v>9.4</v>
      </c>
      <c r="N7" s="16"/>
      <c r="O7" s="15">
        <f>SUM(O6:O6)</f>
        <v>400</v>
      </c>
      <c r="P7" s="16"/>
      <c r="Q7" s="15">
        <f>SUM(Q6:Q6)</f>
        <v>10</v>
      </c>
      <c r="R7" s="15">
        <f>SUM(R6:R6)</f>
        <v>20100</v>
      </c>
      <c r="S7" s="15">
        <f>SUM(S6:S6)</f>
        <v>9.447000000000001</v>
      </c>
      <c r="T7" s="18"/>
      <c r="U7" s="30" t="s">
        <v>34</v>
      </c>
      <c r="V7" s="18"/>
      <c r="W7" s="18"/>
    </row>
    <row r="8" spans="1:23" s="3" customFormat="1" ht="21" customHeight="1" x14ac:dyDescent="0.15">
      <c r="A8" s="34"/>
      <c r="B8" s="35"/>
      <c r="C8" s="10"/>
      <c r="D8" s="10"/>
      <c r="E8" s="10"/>
      <c r="F8" s="10"/>
      <c r="G8" s="10"/>
      <c r="H8" s="10"/>
      <c r="I8" s="10"/>
      <c r="J8" s="10"/>
      <c r="K8" s="10" t="s">
        <v>25</v>
      </c>
      <c r="L8" s="10" t="s">
        <v>24</v>
      </c>
      <c r="M8" s="10" t="s">
        <v>25</v>
      </c>
      <c r="N8" s="10"/>
      <c r="O8" s="10" t="s">
        <v>27</v>
      </c>
      <c r="P8" s="10"/>
      <c r="Q8" s="10" t="s">
        <v>29</v>
      </c>
      <c r="R8" s="10" t="s">
        <v>24</v>
      </c>
      <c r="S8" s="10" t="s">
        <v>25</v>
      </c>
      <c r="T8" s="10"/>
      <c r="U8" s="31"/>
      <c r="V8" s="10"/>
      <c r="W8" s="10"/>
    </row>
    <row r="10" spans="1:23" s="1" customFormat="1" ht="19.5" customHeight="1" x14ac:dyDescent="0.15">
      <c r="B10" s="1" t="s">
        <v>35</v>
      </c>
      <c r="O10" s="17"/>
      <c r="S10" s="19" t="s">
        <v>36</v>
      </c>
      <c r="U10" s="12" t="s">
        <v>55</v>
      </c>
    </row>
    <row r="11" spans="1:23" s="1" customFormat="1" ht="19.5" customHeight="1" x14ac:dyDescent="0.15">
      <c r="A11" s="1" t="s">
        <v>37</v>
      </c>
      <c r="B11" s="28" t="s">
        <v>38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s="1" customFormat="1" ht="19.5" customHeight="1" x14ac:dyDescent="0.15">
      <c r="A12" s="1" t="s">
        <v>39</v>
      </c>
      <c r="B12" s="36" t="s">
        <v>52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spans="1:23" s="1" customFormat="1" ht="19.5" customHeight="1" x14ac:dyDescent="0.15">
      <c r="B13" s="28" t="s">
        <v>40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s="1" customFormat="1" ht="19.5" customHeight="1" x14ac:dyDescent="0.15">
      <c r="A14" s="1" t="s">
        <v>41</v>
      </c>
      <c r="B14" s="28" t="s">
        <v>42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s="1" customFormat="1" ht="19.5" customHeight="1" x14ac:dyDescent="0.15">
      <c r="A15" s="1" t="s">
        <v>43</v>
      </c>
      <c r="B15" s="12" t="s">
        <v>44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23.25" customHeight="1" x14ac:dyDescent="0.15">
      <c r="T16" s="29">
        <v>46183</v>
      </c>
      <c r="U16" s="29"/>
      <c r="V16" s="29"/>
      <c r="W16" s="29"/>
    </row>
    <row r="17" spans="3:14" ht="20.25" customHeight="1" x14ac:dyDescent="0.15">
      <c r="C17" s="28" t="s">
        <v>45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</sheetData>
  <mergeCells count="26">
    <mergeCell ref="U7:U8"/>
    <mergeCell ref="V4:V5"/>
    <mergeCell ref="W4:W5"/>
    <mergeCell ref="A7:B8"/>
    <mergeCell ref="B12:W12"/>
    <mergeCell ref="B13:W13"/>
    <mergeCell ref="B14:W14"/>
    <mergeCell ref="T16:W16"/>
    <mergeCell ref="C17:N17"/>
    <mergeCell ref="B11:W11"/>
    <mergeCell ref="A2:W2"/>
    <mergeCell ref="H3:I3"/>
    <mergeCell ref="O3:P3"/>
    <mergeCell ref="U3:W3"/>
    <mergeCell ref="I4:K4"/>
    <mergeCell ref="L4:Q4"/>
    <mergeCell ref="R4:S4"/>
    <mergeCell ref="A4:A5"/>
    <mergeCell ref="B4:B5"/>
    <mergeCell ref="C4:C5"/>
    <mergeCell ref="D4:D5"/>
    <mergeCell ref="E4:E5"/>
    <mergeCell ref="F4:F5"/>
    <mergeCell ref="G4:G5"/>
    <mergeCell ref="T4:T5"/>
    <mergeCell ref="U4:U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2025-05-07T07:52:06Z</cp:lastPrinted>
  <dcterms:created xsi:type="dcterms:W3CDTF">2006-09-13T11:21:00Z</dcterms:created>
  <dcterms:modified xsi:type="dcterms:W3CDTF">2026-06-10T07:12:22Z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59441E3EF51841088A6EE2EE534C9BC1_13</vt:lpwstr>
  </property>
  <property fmtid="{D5CDD505-2E9C-101B-9397-08002B2CF9AE}" pid="3" name="KSOProductBuildVer">
    <vt:lpwstr>2052-12.1.0.18276</vt:lpwstr>
  </property>
</Properties>
</file>