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4367C0C9-4176-44CD-B649-9E941E1283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M5" i="1"/>
  <c r="K5" i="1" s="1"/>
</calcChain>
</file>

<file path=xl/sharedStrings.xml><?xml version="1.0" encoding="utf-8"?>
<sst xmlns="http://schemas.openxmlformats.org/spreadsheetml/2006/main" count="63" uniqueCount="61">
  <si>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</si>
  <si>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</si>
  <si>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</si>
  <si>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</si>
  <si>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</si>
  <si>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</si>
  <si>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</si>
  <si>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</si>
  <si>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</si>
  <si>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</si>
  <si>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</si>
  <si>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</si>
  <si>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</si>
  <si>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</si>
  <si>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</si>
  <si>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</si>
  <si>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</si>
  <si>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</si>
  <si>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</si>
  <si>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</si>
  <si>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</si>
  <si>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</si>
  <si>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</si>
  <si>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</si>
  <si>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</si>
  <si>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</si>
  <si>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</si>
  <si>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</si>
  <si>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</si>
  <si>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编织袋+免熏蒸木箱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</si>
  <si>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</si>
  <si>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</si>
  <si>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</si>
  <si>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</si>
  <si>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</si>
  <si>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</si>
  <si>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</si>
  <si>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</si>
  <si>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</si>
  <si>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</si>
  <si>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</si>
  <si>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</si>
  <si>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</si>
  <si>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螺纹
道钉</t>
    <phoneticPr fontId="11" type="noConversion"/>
  </si>
  <si>
    <t>26 X 190</t>
    <phoneticPr fontId="11" type="noConversion"/>
  </si>
  <si>
    <t>UIC864-1
8.8级</t>
    <phoneticPr fontId="11" type="noConversion"/>
  </si>
  <si>
    <t>QR-C-01</t>
    <phoneticPr fontId="11" type="noConversion"/>
  </si>
  <si>
    <t>45#</t>
    <phoneticPr fontId="11" type="noConversion"/>
  </si>
  <si>
    <t>Φ26</t>
    <phoneticPr fontId="11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</si>
  <si>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11" type="noConversion"/>
  </si>
  <si>
    <t>热镀锌</t>
    <phoneticPr fontId="11" type="noConversion"/>
  </si>
  <si>
    <t>20000
件</t>
    <phoneticPr fontId="7" type="noConversion"/>
  </si>
  <si>
    <t>800
袋</t>
    <phoneticPr fontId="7" type="noConversion"/>
  </si>
  <si>
    <t>20100
件</t>
    <phoneticPr fontId="7" type="noConversion"/>
  </si>
  <si>
    <t>3  月  份  销  售  计  划  1</t>
    <phoneticPr fontId="7" type="noConversion"/>
  </si>
  <si>
    <t>260302-1</t>
    <phoneticPr fontId="7" type="noConversion"/>
  </si>
  <si>
    <t>17.0
吨</t>
    <phoneticPr fontId="7" type="noConversion"/>
  </si>
  <si>
    <t>15.0
吨</t>
    <phoneticPr fontId="7" type="noConversion"/>
  </si>
  <si>
    <t>2026-4-5</t>
    <phoneticPr fontId="7" type="noConversion"/>
  </si>
  <si>
    <t>15.1
吨</t>
    <phoneticPr fontId="7" type="noConversion"/>
  </si>
  <si>
    <t>25
箱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</si>
</sst>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&quot;年&quot;m&quot;月&quot;d&quot;日&quot;;@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topLeftCell="A4" workbookViewId="0">
      <selection activeCell="B10" sqref="B10:W10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75" style="2" customWidth="1"/>
    <col min="21" max="21" width="6.375" style="2" customWidth="1"/>
    <col min="22" max="22" width="5.625" style="2" customWidth="1"/>
    <col min="23" max="23" width="6.125" style="2" customWidth="1"/>
    <col min="24" max="16384" width="9" style="2"/>
  </cols>
  <sheetData>
    <row r="1" spans="1:23" ht="33" customHeight="1" x14ac:dyDescent="0.15">
      <c r="A1" s="14" t="s">
        <v>54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s="1" customFormat="1" ht="18" customHeight="1" x14ac:dyDescent="0.15">
      <c r="B2" s="3" t="s">
        <v>0</v>
      </c>
      <c r="C2" s="3" t="s">
        <v>1</v>
      </c>
      <c r="D2" s="3"/>
      <c r="E2" s="3"/>
      <c r="F2" s="3"/>
      <c r="G2" s="3"/>
      <c r="H2" s="3"/>
      <c r="I2" s="16" t="s">
        <v>2</v>
      </c>
      <c r="J2" s="16"/>
      <c r="K2" s="3"/>
      <c r="L2" s="3"/>
      <c r="M2" s="3"/>
      <c r="N2" s="17" t="s">
        <v>3</v>
      </c>
      <c r="O2" s="17"/>
      <c r="P2" s="3"/>
      <c r="Q2" s="3"/>
      <c r="R2" s="3"/>
      <c r="S2" s="3"/>
      <c r="T2" s="18"/>
      <c r="U2" s="19"/>
      <c r="V2" s="19"/>
      <c r="W2" s="19"/>
    </row>
    <row r="3" spans="1:23" s="1" customFormat="1" ht="29.25" customHeight="1" x14ac:dyDescent="0.15">
      <c r="A3" s="20" t="s">
        <v>4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4" t="s">
        <v>11</v>
      </c>
      <c r="I3" s="20" t="s">
        <v>12</v>
      </c>
      <c r="J3" s="20"/>
      <c r="K3" s="20"/>
      <c r="L3" s="20" t="s">
        <v>13</v>
      </c>
      <c r="M3" s="20"/>
      <c r="N3" s="20"/>
      <c r="O3" s="20"/>
      <c r="P3" s="20"/>
      <c r="Q3" s="20"/>
      <c r="R3" s="20" t="s">
        <v>14</v>
      </c>
      <c r="S3" s="20"/>
      <c r="T3" s="20" t="s">
        <v>15</v>
      </c>
      <c r="U3" s="20" t="s">
        <v>16</v>
      </c>
      <c r="V3" s="20" t="s">
        <v>17</v>
      </c>
      <c r="W3" s="20" t="s">
        <v>18</v>
      </c>
    </row>
    <row r="4" spans="1:23" s="1" customFormat="1" ht="29.25" customHeight="1" x14ac:dyDescent="0.15">
      <c r="A4" s="20"/>
      <c r="B4" s="20"/>
      <c r="C4" s="20"/>
      <c r="D4" s="20"/>
      <c r="E4" s="20"/>
      <c r="F4" s="20"/>
      <c r="G4" s="20"/>
      <c r="H4" s="4" t="s">
        <v>19</v>
      </c>
      <c r="I4" s="4" t="s">
        <v>20</v>
      </c>
      <c r="J4" s="4" t="s">
        <v>21</v>
      </c>
      <c r="K4" s="5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23</v>
      </c>
      <c r="S4" s="4" t="s">
        <v>24</v>
      </c>
      <c r="T4" s="20"/>
      <c r="U4" s="20"/>
      <c r="V4" s="20"/>
      <c r="W4" s="20"/>
    </row>
    <row r="5" spans="1:23" s="10" customFormat="1" ht="64.5" customHeight="1" x14ac:dyDescent="0.15">
      <c r="A5" s="6">
        <v>1</v>
      </c>
      <c r="B5" s="6" t="s">
        <v>43</v>
      </c>
      <c r="C5" s="6" t="s">
        <v>44</v>
      </c>
      <c r="D5" s="6" t="s">
        <v>55</v>
      </c>
      <c r="E5" s="6">
        <v>9556</v>
      </c>
      <c r="F5" s="6" t="s">
        <v>45</v>
      </c>
      <c r="G5" s="6" t="s">
        <v>46</v>
      </c>
      <c r="H5" s="6">
        <v>0.75</v>
      </c>
      <c r="I5" s="6" t="s">
        <v>47</v>
      </c>
      <c r="J5" s="6" t="s">
        <v>48</v>
      </c>
      <c r="K5" s="7">
        <f>M5/0.88</f>
        <v>17.045454545454547</v>
      </c>
      <c r="L5" s="6">
        <v>20000</v>
      </c>
      <c r="M5" s="7">
        <f>H5*L5/1000</f>
        <v>15</v>
      </c>
      <c r="N5" s="6">
        <v>25</v>
      </c>
      <c r="O5" s="6">
        <v>800</v>
      </c>
      <c r="P5" s="8">
        <v>32</v>
      </c>
      <c r="Q5" s="6">
        <v>25</v>
      </c>
      <c r="R5" s="6">
        <v>20100</v>
      </c>
      <c r="S5" s="7">
        <f t="shared" ref="S5" si="0">H5*R5/1000</f>
        <v>15.074999999999999</v>
      </c>
      <c r="T5" s="11" t="s">
        <v>58</v>
      </c>
      <c r="U5" s="6" t="s">
        <v>49</v>
      </c>
      <c r="V5" s="6" t="s">
        <v>50</v>
      </c>
      <c r="W5" s="9" t="s">
        <v>29</v>
      </c>
    </row>
    <row r="6" spans="1:23" s="1" customFormat="1" ht="34.5" customHeight="1" x14ac:dyDescent="0.15">
      <c r="A6" s="20" t="s">
        <v>30</v>
      </c>
      <c r="B6" s="20"/>
      <c r="C6" s="4"/>
      <c r="D6" s="4"/>
      <c r="E6" s="4"/>
      <c r="F6" s="4"/>
      <c r="G6" s="4"/>
      <c r="H6" s="4"/>
      <c r="I6" s="4"/>
      <c r="J6" s="4"/>
      <c r="K6" s="6" t="s">
        <v>56</v>
      </c>
      <c r="L6" s="6" t="s">
        <v>51</v>
      </c>
      <c r="M6" s="6" t="s">
        <v>57</v>
      </c>
      <c r="N6" s="4"/>
      <c r="O6" s="6" t="s">
        <v>52</v>
      </c>
      <c r="P6" s="4"/>
      <c r="Q6" s="6" t="s">
        <v>60</v>
      </c>
      <c r="R6" s="6" t="s">
        <v>53</v>
      </c>
      <c r="S6" s="6" t="s">
        <v>59</v>
      </c>
      <c r="T6" s="4"/>
      <c r="U6" s="4" t="s">
        <v>31</v>
      </c>
      <c r="V6" s="4"/>
      <c r="W6" s="4"/>
    </row>
    <row r="7" spans="1:23" ht="26.1" customHeight="1" x14ac:dyDescent="0.15"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s="1" customFormat="1" ht="19.5" customHeight="1" x14ac:dyDescent="0.15">
      <c r="B8" s="1" t="s">
        <v>32</v>
      </c>
    </row>
    <row r="9" spans="1:23" s="1" customFormat="1" ht="19.5" customHeight="1" x14ac:dyDescent="0.15">
      <c r="A9" s="1" t="s">
        <v>33</v>
      </c>
      <c r="B9" s="13" t="s">
        <v>34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s="1" customFormat="1" ht="19.5" customHeight="1" x14ac:dyDescent="0.15">
      <c r="B10" s="13" t="s">
        <v>35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s="1" customFormat="1" ht="19.5" customHeight="1" x14ac:dyDescent="0.15">
      <c r="A11" s="1" t="s">
        <v>36</v>
      </c>
      <c r="B11" s="13" t="s">
        <v>37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s="1" customFormat="1" ht="19.5" customHeight="1" x14ac:dyDescent="0.15">
      <c r="A12" s="1" t="s">
        <v>38</v>
      </c>
      <c r="B12" s="13" t="s">
        <v>39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s="1" customFormat="1" ht="19.5" customHeight="1" x14ac:dyDescent="0.15">
      <c r="A13" s="1" t="s">
        <v>40</v>
      </c>
      <c r="B13" s="13" t="s">
        <v>41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42" customHeight="1" x14ac:dyDescent="0.15">
      <c r="T14" s="21">
        <v>46083</v>
      </c>
      <c r="U14" s="21"/>
      <c r="V14" s="21"/>
      <c r="W14" s="21"/>
    </row>
    <row r="15" spans="1:23" ht="20.25" customHeight="1" x14ac:dyDescent="0.15">
      <c r="C15" s="13" t="s">
        <v>42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</sheetData>
  <mergeCells count="27">
    <mergeCell ref="B12:W12"/>
    <mergeCell ref="B13:W13"/>
    <mergeCell ref="T14:W14"/>
    <mergeCell ref="C15:N15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V3:V4"/>
    <mergeCell ref="W3:W4"/>
    <mergeCell ref="A6:B6"/>
    <mergeCell ref="N7:W7"/>
    <mergeCell ref="B9:W9"/>
    <mergeCell ref="B10:W10"/>
    <mergeCell ref="B11:W11"/>
    <mergeCell ref="A1:W1"/>
    <mergeCell ref="I2:J2"/>
    <mergeCell ref="N2:O2"/>
    <mergeCell ref="T2:W2"/>
    <mergeCell ref="I3:K3"/>
    <mergeCell ref="L3:Q3"/>
    <mergeCell ref="R3:S3"/>
  </mergeCells>
  <phoneticPr fontId="7" type="noConversion"/>
  <pageMargins left="0.7" right="0.7" top="0.75" bottom="0.75" header="0.3" footer="0.3"/>
  <pageSetup paperSize="9" scale="9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2025-04-03T02:12:32Z</cp:lastPrinted>
  <dcterms:created xsi:type="dcterms:W3CDTF">2006-09-13T11:21:00Z</dcterms:created>
  <dcterms:modified xsi:type="dcterms:W3CDTF">2026-03-02T06:41:16Z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DFADD33E894F4077839AC55E896BAED0_13</vt:lpwstr>
  </property>
  <property fmtid="{D5CDD505-2E9C-101B-9397-08002B2CF9AE}" pid="3" name="KSOProductBuildVer">
    <vt:lpwstr>2052-12.1.0.18276</vt:lpwstr>
  </property>
</Properties>
</file>