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F63FA6AD-2090-4892-B99C-80885E4424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1" l="1"/>
  <c r="M5" i="1"/>
  <c r="K5" i="1" s="1"/>
  <c r="S6" i="1"/>
  <c r="M6" i="1"/>
  <c r="K6" i="1" s="1"/>
</calcChain>
</file>

<file path=xl/sharedStrings.xml><?xml version="1.0" encoding="utf-8"?>
<sst xmlns="http://schemas.openxmlformats.org/spreadsheetml/2006/main" count="74" uniqueCount="71">
  <si>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</si>
  <si>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</si>
  <si>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</si>
  <si>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</si>
  <si>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</si>
  <si>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</si>
  <si>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</si>
  <si>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</si>
  <si>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</si>
  <si>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</si>
  <si>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</si>
  <si>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</si>
  <si>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</si>
  <si>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</si>
  <si>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</si>
  <si>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</si>
  <si>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</si>
  <si>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</si>
  <si>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</si>
  <si>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</si>
  <si>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</si>
  <si>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</si>
  <si>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</si>
  <si>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</si>
  <si>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</si>
  <si>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</si>
  <si>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</si>
  <si>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</si>
  <si>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</si>
  <si>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
道钉</t>
  </si>
  <si>
    <t>22 X 150</t>
  </si>
  <si>
    <t>GB3098.1
5.6级</t>
  </si>
  <si>
    <t>DR.SS.T.01</t>
  </si>
  <si>
    <t>35K</t>
  </si>
  <si>
    <t>热镀锌</t>
  </si>
  <si>
    <t>编织袋+免熏蒸木箱</t>
  </si>
  <si>
    <t>合计</t>
  </si>
  <si>
    <t>详见
图纸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</si>
  <si>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</si>
  <si>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</si>
  <si>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</si>
  <si>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</si>
  <si>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</si>
  <si>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</si>
  <si>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</si>
  <si>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</si>
  <si>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</si>
  <si>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r>
      <rPr>
        <sz val="10"/>
        <color theme="1"/>
        <rFont val="宋体"/>
        <charset val="134"/>
        <scheme val="minor"/>
      </rPr>
      <t>包装物为编织袋加免熏蒸木箱。木箱外尺寸是：</t>
    </r>
    <r>
      <rPr>
        <b/>
        <sz val="10"/>
        <color theme="1"/>
        <rFont val="宋体"/>
        <charset val="134"/>
        <scheme val="minor"/>
      </rPr>
      <t>1100×800×550mm</t>
    </r>
  </si>
  <si>
    <t>分发：总经理、总经办、品管部、生产部</t>
  </si>
  <si>
    <r>
      <rPr>
        <sz val="10"/>
        <color theme="1"/>
        <rFont val="Calibri"/>
        <family val="2"/>
      </rPr>
      <t>Φ</t>
    </r>
    <r>
      <rPr>
        <sz val="10"/>
        <color theme="1"/>
        <rFont val="宋体"/>
        <charset val="134"/>
        <scheme val="minor"/>
      </rPr>
      <t>22</t>
    </r>
    <phoneticPr fontId="8" type="noConversion"/>
  </si>
  <si>
    <t>螺纹
道钉</t>
    <phoneticPr fontId="15" type="noConversion"/>
  </si>
  <si>
    <t>26 X 190</t>
    <phoneticPr fontId="15" type="noConversion"/>
  </si>
  <si>
    <t>UIC864-1
8.8级</t>
    <phoneticPr fontId="15" type="noConversion"/>
  </si>
  <si>
    <t>QR-C-01</t>
    <phoneticPr fontId="15" type="noConversion"/>
  </si>
  <si>
    <t>45#</t>
    <phoneticPr fontId="15" type="noConversion"/>
  </si>
  <si>
    <t>Φ26</t>
    <phoneticPr fontId="15" type="noConversion"/>
  </si>
  <si>
    <r>
      <t xml:space="preserve">D
</t>
    </r>
    <r>
      <rPr>
        <sz val="14"/>
        <color theme="1"/>
        <rFont val="宋体"/>
        <family val="3"/>
        <charset val="134"/>
        <scheme val="minor"/>
      </rPr>
      <t>C</t>
    </r>
    <phoneticPr fontId="15" type="noConversion"/>
  </si>
  <si>
    <t>热镀锌</t>
    <phoneticPr fontId="15" type="noConversion"/>
  </si>
  <si>
    <t>260508-4</t>
    <phoneticPr fontId="8" type="noConversion"/>
  </si>
  <si>
    <t>260508-5</t>
  </si>
  <si>
    <t>23.2
吨</t>
    <phoneticPr fontId="8" type="noConversion"/>
  </si>
  <si>
    <t>30000
件</t>
    <phoneticPr fontId="8" type="noConversion"/>
  </si>
  <si>
    <t>20.7
吨</t>
    <phoneticPr fontId="8" type="noConversion"/>
  </si>
  <si>
    <t>1200
袋</t>
    <phoneticPr fontId="8" type="noConversion"/>
  </si>
  <si>
    <t>35
箱</t>
    <phoneticPr fontId="8" type="noConversion"/>
  </si>
  <si>
    <t>30150
件</t>
    <phoneticPr fontId="8" type="noConversion"/>
  </si>
  <si>
    <t>20.8
吨</t>
    <phoneticPr fontId="8" type="noConversion"/>
  </si>
  <si>
    <t>2026-6-18</t>
    <phoneticPr fontId="8" type="noConversion"/>
  </si>
  <si>
    <t>2026-6-8</t>
    <phoneticPr fontId="8" type="noConversion"/>
  </si>
  <si>
    <r>
      <t xml:space="preserve">DEL 
26
</t>
    </r>
    <r>
      <rPr>
        <b/>
        <sz val="14"/>
        <color theme="1"/>
        <rFont val="宋体"/>
        <charset val="134"/>
        <scheme val="minor"/>
      </rPr>
      <t>T</t>
    </r>
    <phoneticPr fontId="8" type="noConversion"/>
  </si>
  <si>
    <t>5  月  份  销  售  计  划  1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</si>
</sst>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yyyy&quot;年&quot;m&quot;月&quot;d&quot;日&quot;;@"/>
  </numFmts>
  <fonts count="18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10"/>
      <color theme="1"/>
      <name val="Calibri"/>
      <family val="2"/>
    </font>
    <font>
      <sz val="10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rgb="FFFF0000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7" fontId="0" fillId="0" borderId="0" xfId="0" applyNumberForma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left" wrapText="1"/>
    </xf>
    <xf numFmtId="0" fontId="1" fillId="0" borderId="3" xfId="0" applyFont="1" applyBorder="1" applyAlignment="1">
      <alignment horizontal="right" wrapText="1"/>
    </xf>
    <xf numFmtId="14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49" fontId="11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"/>
  <sheetViews>
    <sheetView tabSelected="1" workbookViewId="0">
      <selection activeCell="L4" sqref="L4"/>
    </sheetView>
  </sheetViews>
  <sheetFormatPr defaultColWidth="9" defaultRowHeight="13.5" x14ac:dyDescent="0.15"/>
  <cols>
    <col min="1" max="1" width="4.125" style="2" customWidth="1"/>
    <col min="2" max="2" width="6.5" style="2" customWidth="1"/>
    <col min="3" max="4" width="9.125" style="2" customWidth="1"/>
    <col min="5" max="5" width="5.25" style="2" customWidth="1"/>
    <col min="6" max="6" width="8" style="2" customWidth="1"/>
    <col min="7" max="7" width="6.25" style="2" customWidth="1"/>
    <col min="8" max="9" width="5.625" style="2" customWidth="1"/>
    <col min="10" max="10" width="5.375" style="2" customWidth="1"/>
    <col min="11" max="11" width="6.125" style="2" customWidth="1"/>
    <col min="12" max="12" width="6.25" style="2" customWidth="1"/>
    <col min="13" max="13" width="5.625" style="2" customWidth="1"/>
    <col min="14" max="14" width="4.375" style="2" customWidth="1"/>
    <col min="15" max="15" width="5.625" style="2" customWidth="1"/>
    <col min="16" max="16" width="4.875" style="2" customWidth="1"/>
    <col min="17" max="19" width="5.625" style="2" customWidth="1"/>
    <col min="20" max="20" width="5.75" style="2" customWidth="1"/>
    <col min="21" max="21" width="6.375" style="2" customWidth="1"/>
    <col min="22" max="22" width="5.625" style="2" customWidth="1"/>
    <col min="23" max="23" width="6.125" style="2" customWidth="1"/>
    <col min="24" max="16384" width="9" style="2"/>
  </cols>
  <sheetData>
    <row r="1" spans="1:23" ht="33" customHeight="1" x14ac:dyDescent="0.15">
      <c r="A1" s="22" t="s">
        <v>70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</row>
    <row r="2" spans="1:23" s="1" customFormat="1" ht="18" customHeight="1" x14ac:dyDescent="0.15">
      <c r="B2" s="3" t="s">
        <v>0</v>
      </c>
      <c r="C2" s="3" t="s">
        <v>1</v>
      </c>
      <c r="D2" s="3"/>
      <c r="E2" s="3"/>
      <c r="F2" s="3"/>
      <c r="G2" s="3"/>
      <c r="H2" s="3"/>
      <c r="I2" s="24" t="s">
        <v>2</v>
      </c>
      <c r="J2" s="24"/>
      <c r="K2" s="3"/>
      <c r="L2" s="3"/>
      <c r="M2" s="3"/>
      <c r="N2" s="25" t="s">
        <v>3</v>
      </c>
      <c r="O2" s="25"/>
      <c r="P2" s="3"/>
      <c r="Q2" s="3"/>
      <c r="R2" s="3"/>
      <c r="S2" s="3"/>
      <c r="T2" s="26"/>
      <c r="U2" s="27"/>
      <c r="V2" s="27"/>
      <c r="W2" s="27"/>
    </row>
    <row r="3" spans="1:23" s="1" customFormat="1" ht="29.25" customHeight="1" x14ac:dyDescent="0.15">
      <c r="A3" s="20" t="s">
        <v>4</v>
      </c>
      <c r="B3" s="20" t="s">
        <v>5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4" t="s">
        <v>11</v>
      </c>
      <c r="I3" s="20" t="s">
        <v>12</v>
      </c>
      <c r="J3" s="20"/>
      <c r="K3" s="20"/>
      <c r="L3" s="20" t="s">
        <v>13</v>
      </c>
      <c r="M3" s="20"/>
      <c r="N3" s="20"/>
      <c r="O3" s="20"/>
      <c r="P3" s="20"/>
      <c r="Q3" s="20"/>
      <c r="R3" s="20" t="s">
        <v>14</v>
      </c>
      <c r="S3" s="20"/>
      <c r="T3" s="20" t="s">
        <v>15</v>
      </c>
      <c r="U3" s="20" t="s">
        <v>16</v>
      </c>
      <c r="V3" s="20" t="s">
        <v>17</v>
      </c>
      <c r="W3" s="20" t="s">
        <v>18</v>
      </c>
    </row>
    <row r="4" spans="1:23" s="1" customFormat="1" ht="29.25" customHeight="1" x14ac:dyDescent="0.15">
      <c r="A4" s="20"/>
      <c r="B4" s="20"/>
      <c r="C4" s="20"/>
      <c r="D4" s="20"/>
      <c r="E4" s="20"/>
      <c r="F4" s="20"/>
      <c r="G4" s="20"/>
      <c r="H4" s="4" t="s">
        <v>19</v>
      </c>
      <c r="I4" s="4" t="s">
        <v>20</v>
      </c>
      <c r="J4" s="4" t="s">
        <v>21</v>
      </c>
      <c r="K4" s="7" t="s">
        <v>22</v>
      </c>
      <c r="L4" s="4" t="s">
        <v>23</v>
      </c>
      <c r="M4" s="4" t="s">
        <v>24</v>
      </c>
      <c r="N4" s="4" t="s">
        <v>25</v>
      </c>
      <c r="O4" s="4" t="s">
        <v>26</v>
      </c>
      <c r="P4" s="4" t="s">
        <v>27</v>
      </c>
      <c r="Q4" s="4" t="s">
        <v>28</v>
      </c>
      <c r="R4" s="4" t="s">
        <v>23</v>
      </c>
      <c r="S4" s="4" t="s">
        <v>24</v>
      </c>
      <c r="T4" s="20"/>
      <c r="U4" s="20"/>
      <c r="V4" s="20"/>
      <c r="W4" s="20"/>
    </row>
    <row r="5" spans="1:23" s="17" customFormat="1" ht="64.5" customHeight="1" x14ac:dyDescent="0.15">
      <c r="A5" s="11">
        <v>1</v>
      </c>
      <c r="B5" s="11" t="s">
        <v>50</v>
      </c>
      <c r="C5" s="11" t="s">
        <v>51</v>
      </c>
      <c r="D5" s="11" t="s">
        <v>58</v>
      </c>
      <c r="E5" s="11">
        <v>9584</v>
      </c>
      <c r="F5" s="11" t="s">
        <v>52</v>
      </c>
      <c r="G5" s="11" t="s">
        <v>53</v>
      </c>
      <c r="H5" s="11">
        <v>0.75</v>
      </c>
      <c r="I5" s="11" t="s">
        <v>54</v>
      </c>
      <c r="J5" s="11" t="s">
        <v>55</v>
      </c>
      <c r="K5" s="14">
        <f>M5/0.88</f>
        <v>17.045454545454547</v>
      </c>
      <c r="L5" s="11">
        <v>20000</v>
      </c>
      <c r="M5" s="14">
        <f>H5*L5/1000</f>
        <v>15</v>
      </c>
      <c r="N5" s="11">
        <v>25</v>
      </c>
      <c r="O5" s="11">
        <v>800</v>
      </c>
      <c r="P5" s="15">
        <v>32</v>
      </c>
      <c r="Q5" s="11">
        <v>25</v>
      </c>
      <c r="R5" s="11">
        <v>20100</v>
      </c>
      <c r="S5" s="14">
        <f t="shared" ref="S5" si="0">H5*R5/1000</f>
        <v>15.074999999999999</v>
      </c>
      <c r="T5" s="28" t="s">
        <v>67</v>
      </c>
      <c r="U5" s="11" t="s">
        <v>56</v>
      </c>
      <c r="V5" s="11" t="s">
        <v>57</v>
      </c>
      <c r="W5" s="16" t="s">
        <v>35</v>
      </c>
    </row>
    <row r="6" spans="1:23" s="1" customFormat="1" ht="64.5" customHeight="1" x14ac:dyDescent="0.15">
      <c r="A6" s="5">
        <v>2</v>
      </c>
      <c r="B6" s="5" t="s">
        <v>29</v>
      </c>
      <c r="C6" s="5" t="s">
        <v>30</v>
      </c>
      <c r="D6" s="11" t="s">
        <v>59</v>
      </c>
      <c r="E6" s="4">
        <v>9585</v>
      </c>
      <c r="F6" s="6" t="s">
        <v>31</v>
      </c>
      <c r="G6" s="5" t="s">
        <v>32</v>
      </c>
      <c r="H6" s="5">
        <v>0.56999999999999995</v>
      </c>
      <c r="I6" s="4" t="s">
        <v>33</v>
      </c>
      <c r="J6" s="13" t="s">
        <v>49</v>
      </c>
      <c r="K6" s="8">
        <f>M6/0.92</f>
        <v>6.1956521739130421</v>
      </c>
      <c r="L6" s="5">
        <v>10000</v>
      </c>
      <c r="M6" s="9">
        <f>H6*L6/1000</f>
        <v>5.6999999999999993</v>
      </c>
      <c r="N6" s="5">
        <v>25</v>
      </c>
      <c r="O6" s="5">
        <v>400</v>
      </c>
      <c r="P6" s="5">
        <v>40</v>
      </c>
      <c r="Q6" s="5">
        <v>10</v>
      </c>
      <c r="R6" s="5">
        <v>10050</v>
      </c>
      <c r="S6" s="9">
        <f>H6*R6/1000</f>
        <v>5.7284999999999995</v>
      </c>
      <c r="T6" s="28" t="s">
        <v>68</v>
      </c>
      <c r="U6" s="12" t="s">
        <v>69</v>
      </c>
      <c r="V6" s="5" t="s">
        <v>34</v>
      </c>
      <c r="W6" s="10" t="s">
        <v>35</v>
      </c>
    </row>
    <row r="7" spans="1:23" s="1" customFormat="1" ht="34.5" customHeight="1" x14ac:dyDescent="0.15">
      <c r="A7" s="20" t="s">
        <v>36</v>
      </c>
      <c r="B7" s="20"/>
      <c r="C7" s="4"/>
      <c r="D7" s="4"/>
      <c r="E7" s="4"/>
      <c r="F7" s="4"/>
      <c r="G7" s="4"/>
      <c r="H7" s="4"/>
      <c r="I7" s="4"/>
      <c r="J7" s="4"/>
      <c r="K7" s="11" t="s">
        <v>60</v>
      </c>
      <c r="L7" s="11" t="s">
        <v>61</v>
      </c>
      <c r="M7" s="11" t="s">
        <v>62</v>
      </c>
      <c r="N7" s="4"/>
      <c r="O7" s="11" t="s">
        <v>63</v>
      </c>
      <c r="P7" s="4"/>
      <c r="Q7" s="11" t="s">
        <v>64</v>
      </c>
      <c r="R7" s="11" t="s">
        <v>65</v>
      </c>
      <c r="S7" s="11" t="s">
        <v>66</v>
      </c>
      <c r="T7" s="4"/>
      <c r="U7" s="4" t="s">
        <v>37</v>
      </c>
      <c r="V7" s="4"/>
      <c r="W7" s="4"/>
    </row>
    <row r="8" spans="1:23" ht="26.1" customHeight="1" x14ac:dyDescent="0.15">
      <c r="N8" s="21"/>
      <c r="O8" s="21"/>
      <c r="P8" s="21"/>
      <c r="Q8" s="21"/>
      <c r="R8" s="21"/>
      <c r="S8" s="21"/>
      <c r="T8" s="21"/>
      <c r="U8" s="21"/>
      <c r="V8" s="21"/>
      <c r="W8" s="21"/>
    </row>
    <row r="9" spans="1:23" s="1" customFormat="1" ht="19.5" customHeight="1" x14ac:dyDescent="0.15">
      <c r="B9" s="1" t="s">
        <v>38</v>
      </c>
    </row>
    <row r="10" spans="1:23" s="1" customFormat="1" ht="19.5" customHeight="1" x14ac:dyDescent="0.15">
      <c r="A10" s="1" t="s">
        <v>39</v>
      </c>
      <c r="B10" s="18" t="s">
        <v>40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</row>
    <row r="11" spans="1:23" s="1" customFormat="1" ht="19.5" customHeight="1" x14ac:dyDescent="0.15">
      <c r="B11" s="18" t="s">
        <v>41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</row>
    <row r="12" spans="1:23" s="1" customFormat="1" ht="19.5" customHeight="1" x14ac:dyDescent="0.15">
      <c r="A12" s="1" t="s">
        <v>42</v>
      </c>
      <c r="B12" s="18" t="s">
        <v>43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</row>
    <row r="13" spans="1:23" s="1" customFormat="1" ht="19.5" customHeight="1" x14ac:dyDescent="0.15">
      <c r="A13" s="1" t="s">
        <v>44</v>
      </c>
      <c r="B13" s="18" t="s">
        <v>45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</row>
    <row r="14" spans="1:23" s="1" customFormat="1" ht="19.5" customHeight="1" x14ac:dyDescent="0.15">
      <c r="A14" s="1" t="s">
        <v>46</v>
      </c>
      <c r="B14" s="18" t="s">
        <v>47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</row>
    <row r="15" spans="1:23" ht="42" customHeight="1" x14ac:dyDescent="0.15">
      <c r="T15" s="19">
        <v>46150</v>
      </c>
      <c r="U15" s="19"/>
      <c r="V15" s="19"/>
      <c r="W15" s="19"/>
    </row>
    <row r="16" spans="1:23" ht="20.25" customHeight="1" x14ac:dyDescent="0.15">
      <c r="C16" s="18" t="s">
        <v>48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</sheetData>
  <mergeCells count="27">
    <mergeCell ref="N8:W8"/>
    <mergeCell ref="B10:W10"/>
    <mergeCell ref="B11:W11"/>
    <mergeCell ref="B12:W12"/>
    <mergeCell ref="A1:W1"/>
    <mergeCell ref="I2:J2"/>
    <mergeCell ref="N2:O2"/>
    <mergeCell ref="T2:W2"/>
    <mergeCell ref="I3:K3"/>
    <mergeCell ref="L3:Q3"/>
    <mergeCell ref="R3:S3"/>
    <mergeCell ref="B13:W13"/>
    <mergeCell ref="B14:W14"/>
    <mergeCell ref="T15:W15"/>
    <mergeCell ref="C16:N16"/>
    <mergeCell ref="A3:A4"/>
    <mergeCell ref="B3:B4"/>
    <mergeCell ref="C3:C4"/>
    <mergeCell ref="D3:D4"/>
    <mergeCell ref="E3:E4"/>
    <mergeCell ref="F3:F4"/>
    <mergeCell ref="G3:G4"/>
    <mergeCell ref="T3:T4"/>
    <mergeCell ref="U3:U4"/>
    <mergeCell ref="V3:V4"/>
    <mergeCell ref="W3:W4"/>
    <mergeCell ref="A7:B7"/>
  </mergeCells>
  <phoneticPr fontId="8" type="noConversion"/>
  <pageMargins left="0.7" right="0.7" top="0.75" bottom="0.75" header="0.3" footer="0.3"/>
  <pageSetup paperSize="9" scale="95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2025-04-03T02:12:32Z</cp:lastPrinted>
  <dcterms:created xsi:type="dcterms:W3CDTF">2006-09-13T11:21:00Z</dcterms:created>
  <dcterms:modified xsi:type="dcterms:W3CDTF">2026-05-08T08:14:44Z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DFADD33E894F4077839AC55E896BAED0_13</vt:lpwstr>
  </property>
  <property fmtid="{D5CDD505-2E9C-101B-9397-08002B2CF9AE}" pid="3" name="KSOProductBuildVer">
    <vt:lpwstr>2052-12.1.0.18276</vt:lpwstr>
  </property>
</Properties>
</file>