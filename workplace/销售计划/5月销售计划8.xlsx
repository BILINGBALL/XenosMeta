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1EFB9A1-AA3C-409B-A62F-5A8FCEAC7E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P9" i="1"/>
  <c r="N9" i="1"/>
  <c r="K9" i="1"/>
  <c r="Q8" i="1"/>
  <c r="R8" i="1" s="1"/>
  <c r="K8" i="1"/>
  <c r="L8" i="1" s="1"/>
  <c r="R7" i="1"/>
  <c r="R9" i="1" s="1"/>
  <c r="L7" i="1"/>
  <c r="J7" i="1" s="1"/>
  <c r="J9" i="1" s="1"/>
  <c r="L9" i="1" l="1"/>
</calcChain>
</file>

<file path=xl/sharedStrings.xml><?xml version="1.0" encoding="utf-8"?>
<sst xmlns="http://schemas.openxmlformats.org/spreadsheetml/2006/main" count="72" uniqueCount="64">
  <si>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</si>
  <si>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</si>
  <si>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</si>
  <si>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</si>
  <si>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</si>
  <si>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</si>
  <si>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</si>
  <si>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</si>
  <si>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</si>
  <si>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</si>
  <si>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</si>
  <si>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</si>
  <si>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</si>
  <si>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</si>
  <si>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</si>
  <si>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</si>
  <si>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</si>
  <si>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</si>
  <si>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</si>
  <si>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</si>
  <si>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</si>
  <si>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</si>
  <si>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</si>
  <si>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</si>
  <si>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</si>
  <si>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</si>
  <si>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</si>
  <si>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</si>
  <si>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</si>
  <si>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平垫</t>
  </si>
  <si>
    <t>Q235</t>
  </si>
  <si>
    <t>合计</t>
  </si>
  <si>
    <t>根据图纸</t>
  </si>
  <si>
    <t>套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</si>
  <si>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</si>
  <si>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</si>
  <si>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</si>
  <si>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</si>
  <si>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</si>
  <si>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</si>
  <si>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</si>
  <si>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</si>
  <si>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</si>
  <si>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</si>
  <si>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5、</t>
  </si>
  <si>
    <t>包装：编织袋+木托盘+缠绕膜，包装结实，适于海运。</t>
  </si>
  <si>
    <t>分发：总经理、总经办、品管部、生产部</t>
  </si>
  <si>
    <t>5 月  份  销  售  计  划  8</t>
    <phoneticPr fontId="8" type="noConversion"/>
  </si>
  <si>
    <t>260519-1</t>
    <phoneticPr fontId="8" type="noConversion"/>
  </si>
  <si>
    <t>260519-2</t>
  </si>
  <si>
    <t>24*161</t>
    <phoneticPr fontId="8" type="noConversion"/>
  </si>
  <si>
    <t>螺纹道钉
DHS35</t>
    <phoneticPr fontId="8" type="noConversion"/>
  </si>
  <si>
    <t>ULS7</t>
    <phoneticPr fontId="8" type="noConversion"/>
  </si>
  <si>
    <t>SUYU20260519-01</t>
    <phoneticPr fontId="8" type="noConversion"/>
  </si>
  <si>
    <t>SUYUDD2209-01</t>
    <phoneticPr fontId="8" type="noConversion"/>
  </si>
  <si>
    <t>35K</t>
    <phoneticPr fontId="8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</si>
  <si>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24</t>
    </r>
    <phoneticPr fontId="8" type="noConversion"/>
  </si>
  <si>
    <t>本色涂油</t>
    <phoneticPr fontId="8" type="noConversion"/>
  </si>
  <si>
    <t>首样检测合格后生产大货。</t>
    <phoneticPr fontId="8" type="noConversion"/>
  </si>
  <si>
    <t>编织袋
+
木托盘
+
缠绕膜</t>
    <phoneticPr fontId="8" type="noConversion"/>
  </si>
  <si>
    <t>2026-6-25</t>
    <phoneticPr fontId="8" type="noConversion"/>
  </si>
  <si>
    <t>铆垫圈</t>
    <phoneticPr fontId="8" type="noConversion"/>
  </si>
  <si>
    <t>外购</t>
    <phoneticPr fontId="8" type="noConversion"/>
  </si>
  <si>
    <t>DHS 35
26
TP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</si>
</sst>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8" formatCode="[$-F800]dddd\,\ mmmm\ dd\,\ yyyy"/>
    <numFmt numFmtId="179" formatCode="0_);[Red]\(0\)"/>
    <numFmt numFmtId="180" formatCode="0.000_ "/>
    <numFmt numFmtId="181" formatCode="0.0_ "/>
    <numFmt numFmtId="182" formatCode="0.0_);[Red]\(0.0\)"/>
    <numFmt numFmtId="183" formatCode="0.00_);[Red]\(0.00\)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178" fontId="0" fillId="0" borderId="0">
      <alignment vertical="center"/>
    </xf>
  </cellStyleXfs>
  <cellXfs count="56">
    <xf numFmtId="178" fontId="0" fillId="0" borderId="0" xfId="0">
      <alignment vertical="center"/>
    </xf>
    <xf numFmtId="178" fontId="1" fillId="0" borderId="0" xfId="0" applyFont="1" applyAlignment="1">
      <alignment horizontal="center" vertical="center" wrapText="1"/>
    </xf>
    <xf numFmtId="178" fontId="0" fillId="0" borderId="0" xfId="0" applyAlignment="1">
      <alignment horizontal="center" vertical="center" wrapText="1"/>
    </xf>
    <xf numFmtId="178" fontId="1" fillId="0" borderId="2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8" fontId="1" fillId="0" borderId="4" xfId="0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178" fontId="1" fillId="0" borderId="10" xfId="0" applyFont="1" applyBorder="1" applyAlignment="1">
      <alignment horizontal="center" vertical="center" wrapText="1"/>
    </xf>
    <xf numFmtId="178" fontId="1" fillId="0" borderId="0" xfId="0" applyFont="1" applyAlignment="1">
      <alignment horizontal="left" vertical="center" wrapText="1"/>
    </xf>
    <xf numFmtId="178" fontId="0" fillId="0" borderId="0" xfId="0" applyAlignment="1">
      <alignment horizontal="left" vertical="center"/>
    </xf>
    <xf numFmtId="181" fontId="1" fillId="0" borderId="2" xfId="0" applyNumberFormat="1" applyFont="1" applyBorder="1" applyAlignment="1">
      <alignment horizontal="center" vertical="center" wrapText="1"/>
    </xf>
    <xf numFmtId="182" fontId="1" fillId="0" borderId="2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9" fontId="1" fillId="2" borderId="2" xfId="0" applyNumberFormat="1" applyFont="1" applyFill="1" applyBorder="1" applyAlignment="1">
      <alignment horizontal="center" vertical="center" wrapText="1"/>
    </xf>
    <xf numFmtId="182" fontId="1" fillId="0" borderId="4" xfId="0" applyNumberFormat="1" applyFont="1" applyBorder="1" applyAlignment="1">
      <alignment horizontal="center" vertical="center" wrapText="1"/>
    </xf>
    <xf numFmtId="181" fontId="1" fillId="0" borderId="4" xfId="0" applyNumberFormat="1" applyFont="1" applyBorder="1" applyAlignment="1">
      <alignment horizontal="center" vertical="center" wrapText="1"/>
    </xf>
    <xf numFmtId="182" fontId="4" fillId="0" borderId="4" xfId="0" applyNumberFormat="1" applyFont="1" applyBorder="1" applyAlignment="1">
      <alignment horizontal="center" vertical="center" wrapText="1"/>
    </xf>
    <xf numFmtId="183" fontId="1" fillId="0" borderId="4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78" fontId="1" fillId="0" borderId="4" xfId="0" applyFont="1" applyBorder="1" applyAlignment="1">
      <alignment vertical="center" wrapText="1"/>
    </xf>
    <xf numFmtId="178" fontId="4" fillId="0" borderId="10" xfId="0" applyFont="1" applyBorder="1" applyAlignment="1">
      <alignment horizontal="center" vertical="center" wrapText="1"/>
    </xf>
    <xf numFmtId="178" fontId="6" fillId="0" borderId="0" xfId="0" applyFont="1" applyAlignment="1">
      <alignment horizontal="center" vertical="center"/>
    </xf>
    <xf numFmtId="178" fontId="2" fillId="0" borderId="0" xfId="0" applyFont="1" applyAlignment="1">
      <alignment horizontal="center" vertical="center" wrapText="1"/>
    </xf>
    <xf numFmtId="178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178" fontId="5" fillId="0" borderId="1" xfId="0" applyFont="1" applyBorder="1" applyAlignment="1">
      <alignment horizontal="right" vertical="center" wrapText="1"/>
    </xf>
    <xf numFmtId="178" fontId="1" fillId="0" borderId="3" xfId="0" applyFont="1" applyBorder="1" applyAlignment="1">
      <alignment horizontal="center" vertical="center" wrapText="1"/>
    </xf>
    <xf numFmtId="178" fontId="1" fillId="0" borderId="11" xfId="0" applyFont="1" applyBorder="1" applyAlignment="1">
      <alignment horizontal="center" vertical="center" wrapText="1"/>
    </xf>
    <xf numFmtId="178" fontId="1" fillId="0" borderId="2" xfId="0" applyFont="1" applyBorder="1" applyAlignment="1">
      <alignment horizontal="center" vertical="center" wrapText="1"/>
    </xf>
    <xf numFmtId="178" fontId="1" fillId="0" borderId="0" xfId="0" applyFont="1" applyAlignment="1">
      <alignment horizontal="left" vertical="center" wrapText="1"/>
    </xf>
    <xf numFmtId="178" fontId="7" fillId="0" borderId="0" xfId="0" applyFont="1" applyAlignment="1">
      <alignment horizontal="right" vertical="center" wrapText="1"/>
    </xf>
    <xf numFmtId="178" fontId="1" fillId="0" borderId="4" xfId="0" applyFont="1" applyBorder="1" applyAlignment="1">
      <alignment horizontal="center" vertical="center" wrapText="1"/>
    </xf>
    <xf numFmtId="178" fontId="1" fillId="0" borderId="10" xfId="0" applyFont="1" applyBorder="1" applyAlignment="1">
      <alignment horizontal="center" vertical="center" wrapText="1"/>
    </xf>
    <xf numFmtId="178" fontId="1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78" fontId="1" fillId="0" borderId="6" xfId="0" applyFont="1" applyBorder="1" applyAlignment="1">
      <alignment horizontal="center" vertical="center" wrapText="1"/>
    </xf>
    <xf numFmtId="178" fontId="1" fillId="0" borderId="7" xfId="0" applyFont="1" applyBorder="1" applyAlignment="1">
      <alignment horizontal="center" vertical="center" wrapText="1"/>
    </xf>
    <xf numFmtId="178" fontId="1" fillId="0" borderId="8" xfId="0" applyFont="1" applyBorder="1" applyAlignment="1">
      <alignment horizontal="center" vertical="center" wrapText="1"/>
    </xf>
    <xf numFmtId="178" fontId="1" fillId="0" borderId="9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83" fontId="1" fillId="0" borderId="0" xfId="0" applyNumberFormat="1" applyFont="1" applyAlignment="1">
      <alignment horizontal="center" vertical="center" wrapText="1"/>
    </xf>
    <xf numFmtId="183" fontId="1" fillId="0" borderId="13" xfId="0" applyNumberFormat="1" applyFont="1" applyBorder="1" applyAlignment="1">
      <alignment horizontal="center" vertical="center" wrapText="1"/>
    </xf>
    <xf numFmtId="178" fontId="9" fillId="0" borderId="0" xfId="0" applyFont="1" applyAlignment="1">
      <alignment horizontal="center" vertical="center" wrapText="1"/>
    </xf>
    <xf numFmtId="17" fontId="10" fillId="0" borderId="2" xfId="0" applyNumberFormat="1" applyFont="1" applyBorder="1" applyAlignment="1">
      <alignment horizontal="center" vertical="center" wrapText="1"/>
    </xf>
    <xf numFmtId="178" fontId="10" fillId="0" borderId="2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9" fontId="10" fillId="0" borderId="4" xfId="0" applyNumberFormat="1" applyFont="1" applyBorder="1" applyAlignment="1">
      <alignment horizontal="center" vertical="center" wrapText="1"/>
    </xf>
    <xf numFmtId="179" fontId="10" fillId="0" borderId="10" xfId="0" applyNumberFormat="1" applyFont="1" applyBorder="1" applyAlignment="1">
      <alignment horizontal="center" vertical="center" wrapText="1"/>
    </xf>
    <xf numFmtId="178" fontId="12" fillId="0" borderId="2" xfId="0" applyFont="1" applyBorder="1" applyAlignment="1">
      <alignment horizontal="center" vertical="center" wrapText="1"/>
    </xf>
    <xf numFmtId="178" fontId="13" fillId="0" borderId="0" xfId="0" applyFont="1" applyAlignment="1">
      <alignment horizontal="left" vertical="center"/>
    </xf>
    <xf numFmtId="49" fontId="14" fillId="0" borderId="4" xfId="0" applyNumberFormat="1" applyFont="1" applyBorder="1" applyAlignment="1">
      <alignment horizontal="center" vertical="center" wrapText="1"/>
    </xf>
    <xf numFmtId="183" fontId="10" fillId="0" borderId="12" xfId="0" applyNumberFormat="1" applyFont="1" applyBorder="1" applyAlignment="1">
      <alignment horizontal="center" vertical="center" wrapText="1"/>
    </xf>
    <xf numFmtId="178" fontId="10" fillId="0" borderId="1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V20"/>
  <sheetViews>
    <sheetView tabSelected="1" topLeftCell="A8" workbookViewId="0">
      <selection activeCell="B13" sqref="B13:V13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9.75" style="2" customWidth="1"/>
    <col min="7" max="7" width="7.125" style="2" customWidth="1"/>
    <col min="8" max="8" width="5.625" style="2" customWidth="1"/>
    <col min="9" max="9" width="5.25" style="2" customWidth="1"/>
    <col min="10" max="10" width="7.5" style="2" customWidth="1"/>
    <col min="11" max="11" width="7.625" style="2" customWidth="1"/>
    <col min="12" max="12" width="7.125" style="2" customWidth="1"/>
    <col min="13" max="13" width="4.25" style="2" customWidth="1"/>
    <col min="14" max="14" width="7.125" style="2" customWidth="1"/>
    <col min="15" max="15" width="4.625" style="2" customWidth="1"/>
    <col min="16" max="16" width="5" style="2" customWidth="1"/>
    <col min="17" max="17" width="7" style="2" customWidth="1"/>
    <col min="18" max="18" width="5.625" style="2" customWidth="1"/>
    <col min="19" max="19" width="7.625" style="2" customWidth="1"/>
    <col min="20" max="20" width="7.125" style="2" customWidth="1"/>
    <col min="21" max="21" width="7.25" style="2" customWidth="1"/>
    <col min="22" max="22" width="6" style="2" customWidth="1"/>
    <col min="23" max="16384" width="9" style="2"/>
  </cols>
  <sheetData>
    <row r="2" spans="1:22" ht="33" customHeight="1" x14ac:dyDescent="0.15">
      <c r="A2" s="4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4" spans="1:22" s="1" customFormat="1" ht="21" customHeight="1" x14ac:dyDescent="0.15">
      <c r="B4" s="1" t="s">
        <v>0</v>
      </c>
      <c r="C4" s="1" t="s">
        <v>1</v>
      </c>
      <c r="G4" s="25" t="s">
        <v>2</v>
      </c>
      <c r="H4" s="25"/>
      <c r="N4" s="25" t="s">
        <v>3</v>
      </c>
      <c r="O4" s="25"/>
      <c r="T4" s="26" t="s">
        <v>4</v>
      </c>
      <c r="U4" s="27"/>
      <c r="V4" s="27"/>
    </row>
    <row r="5" spans="1:22" s="1" customFormat="1" ht="27" customHeight="1" x14ac:dyDescent="0.15">
      <c r="A5" s="30" t="s">
        <v>5</v>
      </c>
      <c r="B5" s="30" t="s">
        <v>6</v>
      </c>
      <c r="C5" s="30" t="s">
        <v>7</v>
      </c>
      <c r="D5" s="30" t="s">
        <v>8</v>
      </c>
      <c r="E5" s="30" t="s">
        <v>9</v>
      </c>
      <c r="F5" s="30" t="s">
        <v>10</v>
      </c>
      <c r="G5" s="3" t="s">
        <v>11</v>
      </c>
      <c r="H5" s="28" t="s">
        <v>12</v>
      </c>
      <c r="I5" s="29"/>
      <c r="J5" s="29"/>
      <c r="K5" s="30" t="s">
        <v>13</v>
      </c>
      <c r="L5" s="30"/>
      <c r="M5" s="30"/>
      <c r="N5" s="30"/>
      <c r="O5" s="30"/>
      <c r="P5" s="30"/>
      <c r="Q5" s="30" t="s">
        <v>14</v>
      </c>
      <c r="R5" s="30"/>
      <c r="S5" s="30" t="s">
        <v>15</v>
      </c>
      <c r="T5" s="30" t="s">
        <v>16</v>
      </c>
      <c r="U5" s="30" t="s">
        <v>17</v>
      </c>
      <c r="V5" s="30" t="s">
        <v>18</v>
      </c>
    </row>
    <row r="6" spans="1:22" s="1" customFormat="1" ht="27.75" customHeight="1" x14ac:dyDescent="0.15">
      <c r="A6" s="30"/>
      <c r="B6" s="30"/>
      <c r="C6" s="30"/>
      <c r="D6" s="30"/>
      <c r="E6" s="30"/>
      <c r="F6" s="30"/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23</v>
      </c>
      <c r="R6" s="3" t="s">
        <v>24</v>
      </c>
      <c r="S6" s="30"/>
      <c r="T6" s="30"/>
      <c r="U6" s="30"/>
      <c r="V6" s="30"/>
    </row>
    <row r="7" spans="1:22" s="1" customFormat="1" ht="46.5" customHeight="1" x14ac:dyDescent="0.15">
      <c r="A7" s="4">
        <v>1</v>
      </c>
      <c r="B7" s="46" t="s">
        <v>51</v>
      </c>
      <c r="C7" s="46" t="s">
        <v>50</v>
      </c>
      <c r="D7" s="45" t="s">
        <v>48</v>
      </c>
      <c r="E7" s="48" t="s">
        <v>53</v>
      </c>
      <c r="F7" s="49" t="s">
        <v>54</v>
      </c>
      <c r="G7" s="6">
        <v>0.61</v>
      </c>
      <c r="H7" s="46" t="s">
        <v>55</v>
      </c>
      <c r="I7" s="51" t="s">
        <v>56</v>
      </c>
      <c r="J7" s="12">
        <f>L7/0.94</f>
        <v>50.617021276595743</v>
      </c>
      <c r="K7" s="4">
        <v>78000</v>
      </c>
      <c r="L7" s="13">
        <f>K7*G7/1000</f>
        <v>47.58</v>
      </c>
      <c r="M7" s="14">
        <v>30</v>
      </c>
      <c r="N7" s="4">
        <v>2600</v>
      </c>
      <c r="O7" s="4">
        <v>40</v>
      </c>
      <c r="P7" s="15">
        <v>65</v>
      </c>
      <c r="Q7" s="4">
        <v>78100</v>
      </c>
      <c r="R7" s="20">
        <f>G7*Q7/1000</f>
        <v>47.640999999999998</v>
      </c>
      <c r="S7" s="53" t="s">
        <v>60</v>
      </c>
      <c r="T7" s="46" t="s">
        <v>63</v>
      </c>
      <c r="U7" s="48" t="s">
        <v>57</v>
      </c>
      <c r="V7" s="48" t="s">
        <v>59</v>
      </c>
    </row>
    <row r="8" spans="1:22" s="1" customFormat="1" ht="33.75" customHeight="1" x14ac:dyDescent="0.15">
      <c r="A8" s="7">
        <v>2</v>
      </c>
      <c r="B8" s="5" t="s">
        <v>29</v>
      </c>
      <c r="C8" s="47" t="s">
        <v>52</v>
      </c>
      <c r="D8" s="45" t="s">
        <v>49</v>
      </c>
      <c r="E8" s="35"/>
      <c r="F8" s="50"/>
      <c r="G8" s="8">
        <v>0.04</v>
      </c>
      <c r="H8" s="5" t="s">
        <v>30</v>
      </c>
      <c r="I8" s="55" t="s">
        <v>62</v>
      </c>
      <c r="J8" s="41"/>
      <c r="K8" s="7">
        <f>K7</f>
        <v>78000</v>
      </c>
      <c r="L8" s="16">
        <f>K8*G8/1000</f>
        <v>3.12</v>
      </c>
      <c r="M8" s="54" t="s">
        <v>61</v>
      </c>
      <c r="N8" s="42"/>
      <c r="O8" s="42"/>
      <c r="P8" s="43"/>
      <c r="Q8" s="7">
        <f>Q7</f>
        <v>78100</v>
      </c>
      <c r="R8" s="18">
        <f>G8*Q8/1000</f>
        <v>3.1240000000000001</v>
      </c>
      <c r="S8" s="36"/>
      <c r="T8" s="21"/>
      <c r="U8" s="35"/>
      <c r="V8" s="35"/>
    </row>
    <row r="9" spans="1:22" s="1" customFormat="1" ht="16.5" customHeight="1" x14ac:dyDescent="0.15">
      <c r="A9" s="37" t="s">
        <v>31</v>
      </c>
      <c r="B9" s="38"/>
      <c r="C9" s="33"/>
      <c r="D9" s="33"/>
      <c r="E9" s="33"/>
      <c r="F9" s="33"/>
      <c r="G9" s="33"/>
      <c r="H9" s="33"/>
      <c r="I9" s="33"/>
      <c r="J9" s="17">
        <f>J7</f>
        <v>50.617021276595743</v>
      </c>
      <c r="K9" s="7">
        <f>K7</f>
        <v>78000</v>
      </c>
      <c r="L9" s="18">
        <f>SUM(L7:L8)</f>
        <v>50.699999999999996</v>
      </c>
      <c r="M9" s="19"/>
      <c r="N9" s="7">
        <f>N7</f>
        <v>2600</v>
      </c>
      <c r="O9" s="7"/>
      <c r="P9" s="7">
        <f>P7</f>
        <v>65</v>
      </c>
      <c r="Q9" s="7">
        <f>Q7</f>
        <v>78100</v>
      </c>
      <c r="R9" s="18">
        <f>SUM(R7:R8)</f>
        <v>50.765000000000001</v>
      </c>
      <c r="S9" s="5"/>
      <c r="T9" s="33" t="s">
        <v>32</v>
      </c>
      <c r="U9" s="5"/>
      <c r="V9" s="5"/>
    </row>
    <row r="10" spans="1:22" s="1" customFormat="1" ht="16.5" customHeight="1" x14ac:dyDescent="0.15">
      <c r="A10" s="39"/>
      <c r="B10" s="40"/>
      <c r="C10" s="34"/>
      <c r="D10" s="34"/>
      <c r="E10" s="34"/>
      <c r="F10" s="34"/>
      <c r="G10" s="34"/>
      <c r="H10" s="34"/>
      <c r="I10" s="34"/>
      <c r="J10" s="9" t="s">
        <v>24</v>
      </c>
      <c r="K10" s="9" t="s">
        <v>33</v>
      </c>
      <c r="L10" s="9" t="s">
        <v>24</v>
      </c>
      <c r="M10" s="9"/>
      <c r="N10" s="9" t="s">
        <v>26</v>
      </c>
      <c r="O10" s="9"/>
      <c r="P10" s="9" t="s">
        <v>28</v>
      </c>
      <c r="Q10" s="9" t="s">
        <v>33</v>
      </c>
      <c r="R10" s="22" t="s">
        <v>24</v>
      </c>
      <c r="S10" s="9"/>
      <c r="T10" s="34"/>
      <c r="U10" s="9"/>
      <c r="V10" s="9"/>
    </row>
    <row r="12" spans="1:22" s="1" customFormat="1" ht="19.5" customHeight="1" x14ac:dyDescent="0.15">
      <c r="B12" s="1" t="s">
        <v>34</v>
      </c>
      <c r="R12" s="23" t="s">
        <v>35</v>
      </c>
    </row>
    <row r="13" spans="1:22" s="1" customFormat="1" ht="19.5" customHeight="1" x14ac:dyDescent="0.15">
      <c r="A13" s="1" t="s">
        <v>36</v>
      </c>
      <c r="B13" s="31" t="s">
        <v>37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s="1" customFormat="1" ht="19.5" customHeight="1" x14ac:dyDescent="0.15">
      <c r="B14" s="31" t="s">
        <v>38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s="1" customFormat="1" ht="19.5" customHeight="1" x14ac:dyDescent="0.15">
      <c r="A15" s="1" t="s">
        <v>39</v>
      </c>
      <c r="B15" s="31" t="s">
        <v>40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s="1" customFormat="1" ht="19.5" customHeight="1" x14ac:dyDescent="0.15">
      <c r="A16" s="1" t="s">
        <v>41</v>
      </c>
      <c r="B16" s="31" t="s">
        <v>42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s="1" customFormat="1" ht="19.5" customHeight="1" x14ac:dyDescent="0.15">
      <c r="A17" s="1" t="s">
        <v>43</v>
      </c>
      <c r="B17" s="52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27.75" customHeight="1" x14ac:dyDescent="0.15">
      <c r="A18" s="1" t="s">
        <v>44</v>
      </c>
      <c r="B18" s="11" t="s">
        <v>45</v>
      </c>
    </row>
    <row r="19" spans="1:22" ht="20.25" customHeight="1" x14ac:dyDescent="0.15">
      <c r="C19" s="31" t="s">
        <v>46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22" ht="22.5" x14ac:dyDescent="0.15">
      <c r="Q20" s="32">
        <v>46161</v>
      </c>
      <c r="R20" s="32"/>
      <c r="S20" s="32"/>
      <c r="T20" s="32"/>
      <c r="U20" s="32"/>
      <c r="V20" s="32"/>
    </row>
  </sheetData>
  <mergeCells count="39">
    <mergeCell ref="V7:V8"/>
    <mergeCell ref="A9:B10"/>
    <mergeCell ref="I8:J8"/>
    <mergeCell ref="M8:P8"/>
    <mergeCell ref="F7:F8"/>
    <mergeCell ref="S7:S8"/>
    <mergeCell ref="T5:T6"/>
    <mergeCell ref="T9:T10"/>
    <mergeCell ref="U5:U6"/>
    <mergeCell ref="U7:U8"/>
    <mergeCell ref="Q20:V20"/>
    <mergeCell ref="A5:A6"/>
    <mergeCell ref="B5:B6"/>
    <mergeCell ref="C5:C6"/>
    <mergeCell ref="C9:C10"/>
    <mergeCell ref="D5:D6"/>
    <mergeCell ref="D9:D10"/>
    <mergeCell ref="E5:E6"/>
    <mergeCell ref="E7:E8"/>
    <mergeCell ref="E9:E10"/>
    <mergeCell ref="F5:F6"/>
    <mergeCell ref="F9:F10"/>
    <mergeCell ref="G9:G10"/>
    <mergeCell ref="H9:H10"/>
    <mergeCell ref="I9:I10"/>
    <mergeCell ref="S5:S6"/>
    <mergeCell ref="B13:V13"/>
    <mergeCell ref="B14:V14"/>
    <mergeCell ref="B15:V15"/>
    <mergeCell ref="B16:V16"/>
    <mergeCell ref="C19:M19"/>
    <mergeCell ref="A2:V2"/>
    <mergeCell ref="G4:H4"/>
    <mergeCell ref="N4:O4"/>
    <mergeCell ref="T4:V4"/>
    <mergeCell ref="H5:J5"/>
    <mergeCell ref="K5:P5"/>
    <mergeCell ref="Q5:R5"/>
    <mergeCell ref="V5:V6"/>
  </mergeCells>
  <phoneticPr fontId="8" type="noConversion"/>
  <pageMargins left="0.7" right="0.7" top="0.75" bottom="0.75" header="0.3" footer="0.3"/>
  <pageSetup paperSize="9" scale="94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2026-05-19T09:02:56Z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C91F7DBCCF5544988820A06F325D3571_13</vt:lpwstr>
  </property>
  <property fmtid="{D5CDD505-2E9C-101B-9397-08002B2CF9AE}" pid="3" name="KSOProductBuildVer">
    <vt:lpwstr>2052-12.1.0.15336</vt:lpwstr>
  </property>
</Properties>
</file>