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183F8B8-73C2-4C52-9571-E2B9F11AEF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M8" i="1"/>
  <c r="K8" i="1"/>
  <c r="R10" i="1"/>
  <c r="Q10" i="1"/>
  <c r="O10" i="1"/>
  <c r="L10" i="1"/>
  <c r="S9" i="1"/>
  <c r="M9" i="1"/>
  <c r="S7" i="1"/>
  <c r="M7" i="1"/>
  <c r="K7" i="1" s="1"/>
  <c r="S10" i="1" l="1"/>
  <c r="M10" i="1"/>
  <c r="K9" i="1"/>
  <c r="K10" i="1" s="1"/>
</calcChain>
</file>

<file path=xl/sharedStrings.xml><?xml version="1.0" encoding="utf-8"?>
<sst xmlns="http://schemas.openxmlformats.org/spreadsheetml/2006/main" count="73" uniqueCount="57">
  <si>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</si>
  <si>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</si>
  <si>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</si>
  <si>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</si>
  <si>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</si>
  <si>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</si>
  <si>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</si>
  <si>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</si>
  <si>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</si>
  <si>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</si>
  <si>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</si>
  <si>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</si>
  <si>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</si>
  <si>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</si>
  <si>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</si>
  <si>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</si>
  <si>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</si>
  <si>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</si>
  <si>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</si>
  <si>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</si>
  <si>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</si>
  <si>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</si>
  <si>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</si>
  <si>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</si>
  <si>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</si>
  <si>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</si>
  <si>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</si>
  <si>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</si>
  <si>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</si>
  <si>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</si>
  <si>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</si>
  <si>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</si>
  <si>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</si>
  <si>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</si>
  <si>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</si>
  <si>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</si>
  <si>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</si>
  <si>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</si>
  <si>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</si>
  <si>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</si>
  <si>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</si>
  <si>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</si>
  <si>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</si>
  <si>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t>2 月  份  销  售  计  划  4</t>
    <phoneticPr fontId="9" type="noConversion"/>
  </si>
  <si>
    <t>23*154</t>
    <phoneticPr fontId="9" type="noConversion"/>
  </si>
  <si>
    <t>260225-2</t>
    <phoneticPr fontId="9" type="noConversion"/>
  </si>
  <si>
    <t>260225-3</t>
  </si>
  <si>
    <t>260225-4</t>
  </si>
  <si>
    <t>CA2600935</t>
    <phoneticPr fontId="9" type="noConversion"/>
  </si>
  <si>
    <t>E225/160</t>
    <phoneticPr fontId="9" type="noConversion"/>
  </si>
  <si>
    <t>UIC864-1
5.6级</t>
    <phoneticPr fontId="13" type="noConversion"/>
  </si>
  <si>
    <t>2026-6-10</t>
    <phoneticPr fontId="9" type="noConversion"/>
  </si>
  <si>
    <t>2026-10-31</t>
    <phoneticPr fontId="9" type="noConversion"/>
  </si>
  <si>
    <t>久美特
GEOMET 500 B (NF EN ISO 10683_08/14)</t>
    <phoneticPr fontId="9" type="noConversion"/>
  </si>
  <si>
    <t>2026-3-8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</si>
  <si>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9" type="noConversion"/>
  </si>
  <si>
    <r>
      <t xml:space="preserve">SDL
26
</t>
    </r>
    <r>
      <rPr>
        <sz val="16"/>
        <color theme="1"/>
        <rFont val="宋体"/>
        <family val="3"/>
        <charset val="134"/>
        <scheme val="minor"/>
      </rPr>
      <t>STM</t>
    </r>
    <r>
      <rPr>
        <sz val="9"/>
        <color theme="1"/>
        <rFont val="宋体"/>
        <family val="3"/>
        <charset val="134"/>
        <scheme val="minor"/>
      </rPr>
      <t xml:space="preserve">
RTI
160-6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</si>
</sst>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7" workbookViewId="0">
      <selection activeCell="I9" sqref="I9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5.625" style="2" customWidth="1"/>
    <col min="18" max="18" width="8.62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9" t="s">
        <v>43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s="1" customFormat="1" ht="27.75" customHeight="1" x14ac:dyDescent="0.15">
      <c r="A4" s="20" t="s">
        <v>0</v>
      </c>
      <c r="B4" s="20"/>
      <c r="C4" s="1" t="s">
        <v>1</v>
      </c>
      <c r="H4" s="20" t="s">
        <v>2</v>
      </c>
      <c r="I4" s="20"/>
      <c r="O4" s="20" t="s">
        <v>3</v>
      </c>
      <c r="P4" s="20"/>
      <c r="U4" s="21"/>
      <c r="V4" s="22"/>
      <c r="W4" s="22"/>
    </row>
    <row r="5" spans="1:23" s="1" customFormat="1" ht="27" customHeight="1" x14ac:dyDescent="0.15">
      <c r="A5" s="25" t="s">
        <v>4</v>
      </c>
      <c r="B5" s="25" t="s">
        <v>5</v>
      </c>
      <c r="C5" s="25" t="s">
        <v>6</v>
      </c>
      <c r="D5" s="25" t="s">
        <v>7</v>
      </c>
      <c r="E5" s="25" t="s">
        <v>8</v>
      </c>
      <c r="F5" s="25" t="s">
        <v>9</v>
      </c>
      <c r="G5" s="25" t="s">
        <v>10</v>
      </c>
      <c r="H5" s="3" t="s">
        <v>11</v>
      </c>
      <c r="I5" s="23" t="s">
        <v>12</v>
      </c>
      <c r="J5" s="24"/>
      <c r="K5" s="24"/>
      <c r="L5" s="25" t="s">
        <v>13</v>
      </c>
      <c r="M5" s="25"/>
      <c r="N5" s="25"/>
      <c r="O5" s="25"/>
      <c r="P5" s="25"/>
      <c r="Q5" s="25"/>
      <c r="R5" s="25" t="s">
        <v>14</v>
      </c>
      <c r="S5" s="25"/>
      <c r="T5" s="25" t="s">
        <v>15</v>
      </c>
      <c r="U5" s="25" t="s">
        <v>16</v>
      </c>
      <c r="V5" s="25" t="s">
        <v>17</v>
      </c>
      <c r="W5" s="25" t="s">
        <v>18</v>
      </c>
    </row>
    <row r="6" spans="1:23" s="1" customFormat="1" ht="27.75" customHeight="1" x14ac:dyDescent="0.15">
      <c r="A6" s="25"/>
      <c r="B6" s="25"/>
      <c r="C6" s="25"/>
      <c r="D6" s="25"/>
      <c r="E6" s="25"/>
      <c r="F6" s="25"/>
      <c r="G6" s="25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5"/>
      <c r="U6" s="25"/>
      <c r="V6" s="25"/>
      <c r="W6" s="25"/>
    </row>
    <row r="7" spans="1:23" s="1" customFormat="1" ht="66" customHeight="1" x14ac:dyDescent="0.15">
      <c r="A7" s="4">
        <v>1</v>
      </c>
      <c r="B7" s="3" t="s">
        <v>29</v>
      </c>
      <c r="C7" s="3" t="s">
        <v>44</v>
      </c>
      <c r="D7" s="3" t="s">
        <v>45</v>
      </c>
      <c r="E7" s="29" t="s">
        <v>48</v>
      </c>
      <c r="F7" s="14" t="s">
        <v>50</v>
      </c>
      <c r="G7" s="3" t="s">
        <v>49</v>
      </c>
      <c r="H7" s="3">
        <v>0.47499999999999998</v>
      </c>
      <c r="I7" s="6" t="s">
        <v>30</v>
      </c>
      <c r="J7" s="13" t="s">
        <v>55</v>
      </c>
      <c r="K7" s="7">
        <f>M7/0.92</f>
        <v>0.12133152173913044</v>
      </c>
      <c r="L7" s="3">
        <v>235</v>
      </c>
      <c r="M7" s="8">
        <f>L7*H7/1000</f>
        <v>0.111625</v>
      </c>
      <c r="N7" s="3">
        <v>40</v>
      </c>
      <c r="O7" s="3">
        <v>6</v>
      </c>
      <c r="P7" s="3">
        <v>6</v>
      </c>
      <c r="Q7" s="3">
        <v>1</v>
      </c>
      <c r="R7" s="3">
        <v>240</v>
      </c>
      <c r="S7" s="8">
        <f>R7*H7/1000</f>
        <v>0.114</v>
      </c>
      <c r="T7" s="18" t="s">
        <v>54</v>
      </c>
      <c r="U7" s="37" t="s">
        <v>56</v>
      </c>
      <c r="V7" s="32" t="s">
        <v>53</v>
      </c>
      <c r="W7" s="5" t="s">
        <v>31</v>
      </c>
    </row>
    <row r="8" spans="1:23" s="1" customFormat="1" ht="66" customHeight="1" x14ac:dyDescent="0.15">
      <c r="A8" s="14">
        <v>2</v>
      </c>
      <c r="B8" s="3" t="s">
        <v>29</v>
      </c>
      <c r="C8" s="3" t="s">
        <v>44</v>
      </c>
      <c r="D8" s="3" t="s">
        <v>46</v>
      </c>
      <c r="E8" s="30"/>
      <c r="F8" s="14" t="s">
        <v>50</v>
      </c>
      <c r="G8" s="3" t="s">
        <v>49</v>
      </c>
      <c r="H8" s="3">
        <v>0.47499999999999998</v>
      </c>
      <c r="I8" s="14" t="s">
        <v>30</v>
      </c>
      <c r="J8" s="13" t="s">
        <v>55</v>
      </c>
      <c r="K8" s="15">
        <f>M8/0.92</f>
        <v>39.025380434782605</v>
      </c>
      <c r="L8" s="14">
        <v>75586</v>
      </c>
      <c r="M8" s="16">
        <f>L8*H8/1000</f>
        <v>35.903349999999996</v>
      </c>
      <c r="N8" s="14">
        <v>40</v>
      </c>
      <c r="O8" s="14">
        <v>1890</v>
      </c>
      <c r="P8" s="14">
        <v>35</v>
      </c>
      <c r="Q8" s="14">
        <v>54</v>
      </c>
      <c r="R8" s="14">
        <v>75600</v>
      </c>
      <c r="S8" s="16">
        <f>R8*H8/1000</f>
        <v>35.909999999999997</v>
      </c>
      <c r="T8" s="18" t="s">
        <v>51</v>
      </c>
      <c r="U8" s="38"/>
      <c r="V8" s="33"/>
      <c r="W8" s="5" t="s">
        <v>31</v>
      </c>
    </row>
    <row r="9" spans="1:23" s="17" customFormat="1" ht="66" customHeight="1" x14ac:dyDescent="0.15">
      <c r="A9" s="14">
        <v>3</v>
      </c>
      <c r="B9" s="3" t="s">
        <v>29</v>
      </c>
      <c r="C9" s="3" t="s">
        <v>44</v>
      </c>
      <c r="D9" s="3" t="s">
        <v>47</v>
      </c>
      <c r="E9" s="31"/>
      <c r="F9" s="14" t="s">
        <v>50</v>
      </c>
      <c r="G9" s="3" t="s">
        <v>49</v>
      </c>
      <c r="H9" s="3">
        <v>0.47499999999999998</v>
      </c>
      <c r="I9" s="14" t="s">
        <v>30</v>
      </c>
      <c r="J9" s="13" t="s">
        <v>55</v>
      </c>
      <c r="K9" s="15">
        <f>M9/0.92</f>
        <v>39.227771739130425</v>
      </c>
      <c r="L9" s="14">
        <v>75978</v>
      </c>
      <c r="M9" s="16">
        <f>L9*H9/1000</f>
        <v>36.089549999999996</v>
      </c>
      <c r="N9" s="14">
        <v>40</v>
      </c>
      <c r="O9" s="14">
        <v>1900</v>
      </c>
      <c r="P9" s="14">
        <v>35</v>
      </c>
      <c r="Q9" s="14">
        <v>55</v>
      </c>
      <c r="R9" s="14">
        <v>76000</v>
      </c>
      <c r="S9" s="16">
        <f>R9*H9/1000</f>
        <v>36.1</v>
      </c>
      <c r="T9" s="18" t="s">
        <v>52</v>
      </c>
      <c r="U9" s="39"/>
      <c r="V9" s="34"/>
      <c r="W9" s="5" t="s">
        <v>31</v>
      </c>
    </row>
    <row r="10" spans="1:23" s="1" customFormat="1" ht="42" customHeight="1" x14ac:dyDescent="0.15">
      <c r="A10" s="23" t="s">
        <v>32</v>
      </c>
      <c r="B10" s="24"/>
      <c r="C10" s="24"/>
      <c r="D10" s="24"/>
      <c r="E10" s="24"/>
      <c r="F10" s="24"/>
      <c r="G10" s="26"/>
      <c r="H10" s="3"/>
      <c r="I10" s="3"/>
      <c r="J10" s="3"/>
      <c r="K10" s="8">
        <f>SUM(K7:K9)</f>
        <v>78.37448369565216</v>
      </c>
      <c r="L10" s="9">
        <f t="shared" ref="L10:M10" si="0">SUM(L7:L9)</f>
        <v>151799</v>
      </c>
      <c r="M10" s="8">
        <f t="shared" si="0"/>
        <v>72.104524999999995</v>
      </c>
      <c r="N10" s="3"/>
      <c r="O10" s="9">
        <f>SUM(O7:O9)</f>
        <v>3796</v>
      </c>
      <c r="P10" s="3"/>
      <c r="Q10" s="9">
        <f t="shared" ref="Q10:S10" si="1">SUM(Q7:Q9)</f>
        <v>110</v>
      </c>
      <c r="R10" s="9">
        <f t="shared" si="1"/>
        <v>151840</v>
      </c>
      <c r="S10" s="8">
        <f t="shared" si="1"/>
        <v>72.123999999999995</v>
      </c>
      <c r="T10" s="11"/>
      <c r="U10" s="3" t="s">
        <v>33</v>
      </c>
      <c r="V10" s="3"/>
      <c r="W10" s="5"/>
    </row>
    <row r="11" spans="1:23" ht="29.25" customHeight="1" x14ac:dyDescent="0.15">
      <c r="R11" s="12" t="s">
        <v>34</v>
      </c>
      <c r="U11" s="28"/>
      <c r="V11" s="28"/>
    </row>
    <row r="12" spans="1:23" s="1" customFormat="1" ht="19.5" customHeight="1" x14ac:dyDescent="0.15">
      <c r="B12" s="1" t="s">
        <v>35</v>
      </c>
      <c r="O12" s="10"/>
      <c r="S12"/>
      <c r="U12" s="28"/>
      <c r="V12" s="28"/>
    </row>
    <row r="13" spans="1:23" s="1" customFormat="1" ht="19.5" customHeight="1" x14ac:dyDescent="0.15">
      <c r="A13" s="1" t="s">
        <v>36</v>
      </c>
      <c r="B13" s="27" t="s">
        <v>37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s="1" customFormat="1" ht="19.5" customHeight="1" x14ac:dyDescent="0.15">
      <c r="A14" s="1" t="s">
        <v>38</v>
      </c>
      <c r="B14" s="27" t="s">
        <v>39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s="1" customFormat="1" ht="19.5" customHeight="1" x14ac:dyDescent="0.15">
      <c r="A15" s="1" t="s">
        <v>40</v>
      </c>
      <c r="B15" s="27" t="s">
        <v>41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ht="42" customHeight="1" x14ac:dyDescent="0.15">
      <c r="O16" s="36"/>
      <c r="P16" s="36"/>
      <c r="Q16" s="36"/>
      <c r="R16" s="36"/>
      <c r="S16" s="36"/>
      <c r="T16" s="36"/>
      <c r="U16" s="36"/>
      <c r="V16" s="36"/>
      <c r="W16" s="36"/>
    </row>
    <row r="17" spans="3:23" ht="20.25" customHeight="1" x14ac:dyDescent="0.15">
      <c r="C17" s="27" t="s">
        <v>42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6"/>
      <c r="P17" s="36"/>
      <c r="Q17" s="36"/>
      <c r="R17" s="36"/>
      <c r="S17" s="36"/>
      <c r="T17" s="36"/>
      <c r="U17" s="36"/>
      <c r="V17" s="36"/>
      <c r="W17" s="36"/>
    </row>
    <row r="18" spans="3:23" x14ac:dyDescent="0.15">
      <c r="Q18" s="35">
        <v>46078</v>
      </c>
      <c r="R18" s="35"/>
      <c r="S18" s="35"/>
      <c r="T18" s="35"/>
    </row>
  </sheetData>
  <mergeCells count="30">
    <mergeCell ref="B14:W14"/>
    <mergeCell ref="B15:W15"/>
    <mergeCell ref="C17:N17"/>
    <mergeCell ref="Q18:T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6:W17"/>
    <mergeCell ref="I5:K5"/>
    <mergeCell ref="L5:Q5"/>
    <mergeCell ref="R5:S5"/>
    <mergeCell ref="A10:G10"/>
    <mergeCell ref="B13:W13"/>
    <mergeCell ref="U11:V12"/>
    <mergeCell ref="E7:E9"/>
    <mergeCell ref="V7:V9"/>
    <mergeCell ref="U7:U9"/>
    <mergeCell ref="A2:W2"/>
    <mergeCell ref="A4:B4"/>
    <mergeCell ref="H4:I4"/>
    <mergeCell ref="O4:P4"/>
    <mergeCell ref="U4:W4"/>
  </mergeCells>
  <phoneticPr fontId="9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2026-02-25T04:09:06Z</cp:lastPrinted>
  <dcterms:created xsi:type="dcterms:W3CDTF">2006-09-13T11:21:00Z</dcterms:created>
  <dcterms:modified xsi:type="dcterms:W3CDTF">2026-02-25T06:26:49Z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