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4AF07B71-D59A-42F9-9A57-2B0856E163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<sst xmlns="http://schemas.openxmlformats.org/spreadsheetml/2006/main" count="54" uniqueCount="52">
  <si>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</si>
  <si>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</si>
  <si>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</si>
  <si>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</si>
  <si>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</si>
  <si>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</si>
  <si>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</si>
  <si>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</si>
  <si>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</si>
  <si>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</si>
  <si>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</si>
  <si>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</si>
  <si>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</si>
  <si>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</si>
  <si>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</si>
  <si>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</si>
  <si>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</si>
  <si>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</si>
  <si>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</si>
  <si>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</si>
  <si>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</si>
  <si>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</si>
  <si>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</si>
  <si>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</si>
  <si>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</si>
  <si>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</si>
  <si>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</si>
  <si>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</si>
  <si>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</si>
  <si>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</si>
  <si>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</si>
  <si>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</si>
  <si>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</si>
  <si>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</si>
  <si>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</si>
  <si>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</si>
  <si>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</si>
  <si>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</si>
  <si>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</si>
  <si>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</si>
  <si>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</si>
  <si>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</si>
  <si>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</si>
  <si>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</si>
  <si>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</si>
  <si>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t>23*149</t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</si>
  <si>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</si>
  <si>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GS54-B5
26</t>
    </r>
    <phoneticPr fontId="10" type="noConversion"/>
  </si>
  <si>
    <t>260615-4</t>
    <phoneticPr fontId="10" type="noConversion"/>
  </si>
  <si>
    <t>CA2603289</t>
    <phoneticPr fontId="10" type="noConversion"/>
  </si>
  <si>
    <t>6 月  份  销  售  计  划  16</t>
    <phoneticPr fontId="10" type="noConversion"/>
  </si>
  <si>
    <t>2026-7-30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</si>
</sst>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2" workbookViewId="0">
      <selection activeCell="T7" sqref="T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5" t="s">
        <v>50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3" t="s">
        <v>11</v>
      </c>
      <c r="I5" s="21" t="s">
        <v>12</v>
      </c>
      <c r="J5" s="22"/>
      <c r="K5" s="22"/>
      <c r="L5" s="19" t="s">
        <v>13</v>
      </c>
      <c r="M5" s="19"/>
      <c r="N5" s="19"/>
      <c r="O5" s="19"/>
      <c r="P5" s="19"/>
      <c r="Q5" s="19"/>
      <c r="R5" s="19" t="s">
        <v>14</v>
      </c>
      <c r="S5" s="19"/>
      <c r="T5" s="19" t="s">
        <v>15</v>
      </c>
      <c r="U5" s="19" t="s">
        <v>16</v>
      </c>
      <c r="V5" s="19" t="s">
        <v>17</v>
      </c>
      <c r="W5" s="19" t="s">
        <v>18</v>
      </c>
    </row>
    <row r="6" spans="1:23" s="1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9"/>
      <c r="U6" s="19"/>
      <c r="V6" s="19"/>
      <c r="W6" s="19"/>
    </row>
    <row r="7" spans="1:23" s="1" customFormat="1" ht="105.75" customHeight="1" x14ac:dyDescent="0.15">
      <c r="A7" s="4">
        <v>1</v>
      </c>
      <c r="B7" s="3" t="s">
        <v>29</v>
      </c>
      <c r="C7" s="11" t="s">
        <v>45</v>
      </c>
      <c r="D7" s="3" t="s">
        <v>48</v>
      </c>
      <c r="E7" s="4" t="s">
        <v>49</v>
      </c>
      <c r="F7" s="12" t="s">
        <v>44</v>
      </c>
      <c r="G7" s="3" t="s">
        <v>30</v>
      </c>
      <c r="H7" s="3">
        <v>0.54</v>
      </c>
      <c r="I7" s="6" t="s">
        <v>31</v>
      </c>
      <c r="J7" s="14" t="s">
        <v>46</v>
      </c>
      <c r="K7" s="7">
        <f>M7/0.92</f>
        <v>18.078260869565216</v>
      </c>
      <c r="L7" s="3">
        <v>30800</v>
      </c>
      <c r="M7" s="8">
        <f>L7*H7/1000</f>
        <v>16.632000000000001</v>
      </c>
      <c r="N7" s="3">
        <v>35</v>
      </c>
      <c r="O7" s="3">
        <v>880</v>
      </c>
      <c r="P7" s="3">
        <v>35</v>
      </c>
      <c r="Q7" s="3">
        <v>26</v>
      </c>
      <c r="R7" s="3">
        <v>31000</v>
      </c>
      <c r="S7" s="8">
        <f>R7*H7/1000</f>
        <v>16.739999999999998</v>
      </c>
      <c r="T7" s="16" t="s">
        <v>51</v>
      </c>
      <c r="U7" s="5" t="s">
        <v>47</v>
      </c>
      <c r="V7" s="13" t="s">
        <v>32</v>
      </c>
      <c r="W7" s="5" t="s">
        <v>33</v>
      </c>
    </row>
    <row r="8" spans="1:23" s="1" customFormat="1" ht="42" customHeight="1" x14ac:dyDescent="0.15">
      <c r="A8" s="21" t="s">
        <v>34</v>
      </c>
      <c r="B8" s="22"/>
      <c r="C8" s="22"/>
      <c r="D8" s="22"/>
      <c r="E8" s="22"/>
      <c r="F8" s="22"/>
      <c r="G8" s="23"/>
      <c r="H8" s="3"/>
      <c r="I8" s="3"/>
      <c r="J8" s="3"/>
      <c r="K8" s="8">
        <f>SUM(K7:K7)</f>
        <v>18.078260869565216</v>
      </c>
      <c r="L8" s="8">
        <f>SUM(L7:L7)</f>
        <v>30800</v>
      </c>
      <c r="M8" s="8">
        <f>SUM(M7:M7)</f>
        <v>16.632000000000001</v>
      </c>
      <c r="N8" s="3"/>
      <c r="O8" s="8">
        <f>SUM(O7:O7)</f>
        <v>880</v>
      </c>
      <c r="P8" s="3"/>
      <c r="Q8" s="8">
        <f>SUM(Q7:Q7)</f>
        <v>26</v>
      </c>
      <c r="R8" s="3"/>
      <c r="S8" s="8">
        <f>SUM(S7:S7)</f>
        <v>16.739999999999998</v>
      </c>
      <c r="T8" s="10"/>
      <c r="U8" s="3" t="s">
        <v>35</v>
      </c>
      <c r="V8" s="3"/>
      <c r="W8" s="5"/>
    </row>
    <row r="9" spans="1:23" ht="19.5" customHeight="1" x14ac:dyDescent="0.15">
      <c r="U9" s="24"/>
      <c r="V9" s="24"/>
    </row>
    <row r="10" spans="1:23" s="1" customFormat="1" ht="19.5" customHeight="1" x14ac:dyDescent="0.15">
      <c r="B10" s="1" t="s">
        <v>36</v>
      </c>
      <c r="O10" s="9"/>
      <c r="S10"/>
      <c r="T10" s="15"/>
      <c r="U10" s="24"/>
      <c r="V10" s="24"/>
    </row>
    <row r="11" spans="1:23" s="1" customFormat="1" ht="19.5" customHeight="1" x14ac:dyDescent="0.15">
      <c r="A11" s="1" t="s">
        <v>37</v>
      </c>
      <c r="B11" s="17" t="s">
        <v>38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1" customFormat="1" ht="19.5" customHeight="1" x14ac:dyDescent="0.15">
      <c r="A12" s="1" t="s">
        <v>39</v>
      </c>
      <c r="B12" s="17" t="s">
        <v>40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A13" s="1" t="s">
        <v>41</v>
      </c>
      <c r="B13" s="17" t="s">
        <v>42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42" customHeight="1" x14ac:dyDescent="0.15"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15">
      <c r="C15" s="17" t="s">
        <v>43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15">
      <c r="Q16" s="18">
        <v>46188</v>
      </c>
      <c r="R16" s="18"/>
      <c r="S16" s="18"/>
      <c r="T16" s="18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10" type="noConversion"/>
  <pageMargins left="0.7" right="0.7" top="0.75" bottom="0.75" header="0.3" footer="0.3"/>
  <pageSetup paperSize="9" scale="8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2025-02-19T03:07:26Z</cp:lastPrinted>
  <dcterms:created xsi:type="dcterms:W3CDTF">2006-09-13T11:21:00Z</dcterms:created>
  <dcterms:modified xsi:type="dcterms:W3CDTF">2026-06-17T05:21:09Z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