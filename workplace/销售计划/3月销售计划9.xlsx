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D9F7B3F-E96D-4865-A465-25EF7E12F9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R8" i="1"/>
  <c r="Q8" i="1"/>
  <c r="O8" i="1"/>
  <c r="S7" i="1"/>
  <c r="M7" i="1"/>
  <c r="K7" i="1" s="1"/>
  <c r="M8" i="1" l="1"/>
  <c r="S8" i="1"/>
  <c r="K8" i="1"/>
</calcChain>
</file>

<file path=xl/sharedStrings.xml><?xml version="1.0" encoding="utf-8"?>
<sst xmlns="http://schemas.openxmlformats.org/spreadsheetml/2006/main" count="56" uniqueCount="54">
  <si>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</si>
  <si>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</si>
  <si>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</si>
  <si>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</si>
  <si>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</si>
  <si>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</si>
  <si>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</si>
  <si>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</si>
  <si>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</si>
  <si>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</si>
  <si>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</si>
  <si>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</si>
  <si>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</si>
  <si>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</si>
  <si>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</si>
  <si>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</si>
  <si>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</si>
  <si>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</si>
  <si>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</si>
  <si>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</si>
  <si>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</si>
  <si>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</si>
  <si>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</si>
  <si>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</si>
  <si>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</si>
  <si>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</si>
  <si>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</si>
  <si>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35K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</si>
  <si>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</si>
  <si>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</si>
  <si>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</si>
  <si>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</si>
  <si>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</si>
  <si>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</si>
  <si>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</si>
  <si>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t>3、</t>
  </si>
  <si>
    <t>分发：总经理、总经办、品管部、生产部</t>
  </si>
  <si>
    <t>锥形方钉</t>
    <phoneticPr fontId="9" type="noConversion"/>
  </si>
  <si>
    <t>23*115</t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</si>
  <si>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9" type="noConversion"/>
  </si>
  <si>
    <t>3 月  份  销  售  计  划  9</t>
    <phoneticPr fontId="9" type="noConversion"/>
  </si>
  <si>
    <t>260323-1</t>
    <phoneticPr fontId="9" type="noConversion"/>
  </si>
  <si>
    <t>BS2603-021</t>
    <phoneticPr fontId="9" type="noConversion"/>
  </si>
  <si>
    <t>编织袋+托盘</t>
    <phoneticPr fontId="9" type="noConversion"/>
  </si>
  <si>
    <t>2026-4-12</t>
    <phoneticPr fontId="9" type="noConversion"/>
  </si>
  <si>
    <t>数量公差0</t>
    <phoneticPr fontId="9" type="noConversion"/>
  </si>
  <si>
    <t>袋/托</t>
    <phoneticPr fontId="9" type="noConversion"/>
  </si>
  <si>
    <t>托</t>
    <phoneticPr fontId="9" type="noConversion"/>
  </si>
  <si>
    <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产品表面光洁无飞边毛刺。</t>
    </r>
    <phoneticPr fontId="9" type="noConversion"/>
  </si>
  <si>
    <t xml:space="preserve">包装物为编织袋加托盘。 </t>
    <phoneticPr fontId="9" type="noConversion"/>
  </si>
  <si>
    <t>5.6级</t>
    <phoneticPr fontId="13" type="noConversion"/>
  </si>
  <si>
    <t>热镀锌</t>
    <phoneticPr fontId="9" type="noConversion"/>
  </si>
  <si>
    <r>
      <t xml:space="preserve">BS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115
26</t>
    </r>
    <phoneticPr fontId="9" type="noConversion"/>
  </si>
  <si>
    <t>BS2210-003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</si>
</sst>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2" workbookViewId="0">
      <selection activeCell="E7" sqref="E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2" t="s">
        <v>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4" spans="1:23" s="1" customFormat="1" ht="27.75" customHeight="1" x14ac:dyDescent="0.15">
      <c r="A4" s="13" t="s">
        <v>0</v>
      </c>
      <c r="B4" s="13"/>
      <c r="C4" s="1" t="s">
        <v>1</v>
      </c>
      <c r="H4" s="13" t="s">
        <v>2</v>
      </c>
      <c r="I4" s="13"/>
      <c r="O4" s="13" t="s">
        <v>3</v>
      </c>
      <c r="P4" s="13"/>
      <c r="U4" s="14"/>
      <c r="V4" s="15"/>
      <c r="W4" s="15"/>
    </row>
    <row r="5" spans="1:23" s="1" customFormat="1" ht="27" customHeight="1" x14ac:dyDescent="0.15">
      <c r="A5" s="18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3" t="s">
        <v>11</v>
      </c>
      <c r="I5" s="16" t="s">
        <v>12</v>
      </c>
      <c r="J5" s="17"/>
      <c r="K5" s="17"/>
      <c r="L5" s="18" t="s">
        <v>13</v>
      </c>
      <c r="M5" s="18"/>
      <c r="N5" s="18"/>
      <c r="O5" s="18"/>
      <c r="P5" s="18"/>
      <c r="Q5" s="18"/>
      <c r="R5" s="18" t="s">
        <v>14</v>
      </c>
      <c r="S5" s="18"/>
      <c r="T5" s="18" t="s">
        <v>15</v>
      </c>
      <c r="U5" s="18" t="s">
        <v>16</v>
      </c>
      <c r="V5" s="18" t="s">
        <v>17</v>
      </c>
      <c r="W5" s="18" t="s">
        <v>18</v>
      </c>
    </row>
    <row r="6" spans="1:23" s="1" customFormat="1" ht="27.75" customHeight="1" x14ac:dyDescent="0.15">
      <c r="A6" s="18"/>
      <c r="B6" s="18"/>
      <c r="C6" s="18"/>
      <c r="D6" s="18"/>
      <c r="E6" s="18"/>
      <c r="F6" s="18"/>
      <c r="G6" s="18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46</v>
      </c>
      <c r="Q6" s="3" t="s">
        <v>47</v>
      </c>
      <c r="R6" s="3" t="s">
        <v>23</v>
      </c>
      <c r="S6" s="3" t="s">
        <v>24</v>
      </c>
      <c r="T6" s="18"/>
      <c r="U6" s="18"/>
      <c r="V6" s="18"/>
      <c r="W6" s="18"/>
    </row>
    <row r="7" spans="1:23" s="1" customFormat="1" ht="66" customHeight="1" x14ac:dyDescent="0.15">
      <c r="A7" s="4">
        <v>1</v>
      </c>
      <c r="B7" s="3" t="s">
        <v>37</v>
      </c>
      <c r="C7" s="3" t="s">
        <v>38</v>
      </c>
      <c r="D7" s="3" t="s">
        <v>41</v>
      </c>
      <c r="E7" s="4" t="s">
        <v>42</v>
      </c>
      <c r="F7" s="24" t="s">
        <v>50</v>
      </c>
      <c r="G7" s="25" t="s">
        <v>53</v>
      </c>
      <c r="H7" s="25">
        <v>0.51</v>
      </c>
      <c r="I7" s="24" t="s">
        <v>27</v>
      </c>
      <c r="J7" s="26" t="s">
        <v>39</v>
      </c>
      <c r="K7" s="27">
        <f>M7/0.9</f>
        <v>2.833333333333333</v>
      </c>
      <c r="L7" s="25">
        <v>5000</v>
      </c>
      <c r="M7" s="28">
        <f>L7*H7/1000</f>
        <v>2.5499999999999998</v>
      </c>
      <c r="N7" s="25">
        <v>50</v>
      </c>
      <c r="O7" s="25">
        <v>100</v>
      </c>
      <c r="P7" s="25">
        <v>35</v>
      </c>
      <c r="Q7" s="25">
        <v>3</v>
      </c>
      <c r="R7" s="25">
        <v>5020</v>
      </c>
      <c r="S7" s="28">
        <f>R7*H7/1000</f>
        <v>2.5602</v>
      </c>
      <c r="T7" s="29" t="s">
        <v>44</v>
      </c>
      <c r="U7" s="30" t="s">
        <v>52</v>
      </c>
      <c r="V7" s="11" t="s">
        <v>51</v>
      </c>
      <c r="W7" s="5" t="s">
        <v>43</v>
      </c>
    </row>
    <row r="8" spans="1:23" s="1" customFormat="1" ht="42" customHeight="1" x14ac:dyDescent="0.15">
      <c r="A8" s="16" t="s">
        <v>28</v>
      </c>
      <c r="B8" s="17"/>
      <c r="C8" s="17"/>
      <c r="D8" s="17"/>
      <c r="E8" s="17"/>
      <c r="F8" s="17"/>
      <c r="G8" s="19"/>
      <c r="H8" s="3"/>
      <c r="I8" s="3"/>
      <c r="J8" s="3"/>
      <c r="K8" s="6">
        <f>SUM(K7:K7)</f>
        <v>2.833333333333333</v>
      </c>
      <c r="L8" s="7">
        <f>SUM(L7:L7)</f>
        <v>5000</v>
      </c>
      <c r="M8" s="6">
        <f>SUM(M7:M7)</f>
        <v>2.5499999999999998</v>
      </c>
      <c r="N8" s="3"/>
      <c r="O8" s="7">
        <f>SUM(O7:O7)</f>
        <v>100</v>
      </c>
      <c r="P8" s="3"/>
      <c r="Q8" s="7">
        <f>SUM(Q7:Q7)</f>
        <v>3</v>
      </c>
      <c r="R8" s="7">
        <f>SUM(R7:R7)</f>
        <v>5020</v>
      </c>
      <c r="S8" s="6">
        <f>SUM(S7:S7)</f>
        <v>2.5602</v>
      </c>
      <c r="T8" s="9"/>
      <c r="U8" s="3" t="s">
        <v>29</v>
      </c>
      <c r="V8" s="3"/>
      <c r="W8" s="5"/>
    </row>
    <row r="9" spans="1:23" ht="29.25" customHeight="1" x14ac:dyDescent="0.15">
      <c r="R9" s="10" t="s">
        <v>30</v>
      </c>
      <c r="U9" s="21"/>
      <c r="V9" s="21"/>
    </row>
    <row r="10" spans="1:23" s="1" customFormat="1" ht="19.5" customHeight="1" x14ac:dyDescent="0.15">
      <c r="B10" s="1" t="s">
        <v>31</v>
      </c>
      <c r="O10" s="8"/>
      <c r="R10" s="10" t="s">
        <v>45</v>
      </c>
      <c r="S10"/>
      <c r="U10" s="21"/>
      <c r="V10" s="21"/>
    </row>
    <row r="11" spans="1:23" s="1" customFormat="1" ht="19.5" customHeight="1" x14ac:dyDescent="0.15">
      <c r="A11" s="1" t="s">
        <v>32</v>
      </c>
      <c r="B11" s="20" t="s">
        <v>33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s="1" customFormat="1" ht="19.5" customHeight="1" x14ac:dyDescent="0.15">
      <c r="A12" s="1" t="s">
        <v>34</v>
      </c>
      <c r="B12" s="20" t="s">
        <v>48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s="1" customFormat="1" ht="19.5" customHeight="1" x14ac:dyDescent="0.15">
      <c r="A13" s="1" t="s">
        <v>35</v>
      </c>
      <c r="B13" s="20" t="s">
        <v>49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42" customHeight="1" x14ac:dyDescent="0.15">
      <c r="O14" s="23"/>
      <c r="P14" s="23"/>
      <c r="Q14" s="23"/>
      <c r="R14" s="23"/>
      <c r="S14" s="23"/>
      <c r="T14" s="23"/>
      <c r="U14" s="23"/>
      <c r="V14" s="23"/>
      <c r="W14" s="23"/>
    </row>
    <row r="15" spans="1:23" ht="20.25" customHeight="1" x14ac:dyDescent="0.15">
      <c r="C15" s="20" t="s">
        <v>36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3"/>
      <c r="P15" s="23"/>
      <c r="Q15" s="23"/>
      <c r="R15" s="23"/>
      <c r="S15" s="23"/>
      <c r="T15" s="23"/>
      <c r="U15" s="23"/>
      <c r="V15" s="23"/>
      <c r="W15" s="23"/>
    </row>
    <row r="16" spans="1:23" x14ac:dyDescent="0.15">
      <c r="Q16" s="22">
        <v>46104</v>
      </c>
      <c r="R16" s="22"/>
      <c r="S16" s="22"/>
      <c r="T16" s="22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2025-12-24T08:13:13Z</cp:lastPrinted>
  <dcterms:created xsi:type="dcterms:W3CDTF">2006-09-13T11:21:00Z</dcterms:created>
  <dcterms:modified xsi:type="dcterms:W3CDTF">2026-03-24T02:54:06Z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