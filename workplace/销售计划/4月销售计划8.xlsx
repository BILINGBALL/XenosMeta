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C23AFF51-086E-4C3A-ADAA-3851E48B16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P6" i="1" l="1"/>
  <c r="Q6" i="1"/>
  <c r="N6" i="1"/>
  <c r="R5" i="1"/>
  <c r="L5" i="1"/>
  <c r="J5" i="1" s="1"/>
  <c r="L6" i="1" l="1"/>
  <c r="R6" i="1"/>
  <c r="J6" i="1"/>
</calcChain>
</file>

<file path=xl/sharedStrings.xml><?xml version="1.0" encoding="utf-8"?>
<sst xmlns="http://schemas.openxmlformats.org/spreadsheetml/2006/main" count="64" uniqueCount="56">
  <si>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</si>
  <si>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</si>
  <si>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</si>
  <si>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</si>
  <si>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</si>
  <si>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</si>
  <si>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</si>
  <si>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</si>
  <si>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</si>
  <si>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</si>
  <si>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</si>
  <si>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</si>
  <si>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</si>
  <si>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</si>
  <si>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</si>
  <si>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</si>
  <si>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</si>
  <si>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</si>
  <si>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</si>
  <si>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</si>
  <si>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</si>
  <si>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</si>
  <si>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</si>
  <si>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托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</si>
  <si>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</si>
  <si>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</si>
  <si>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</si>
  <si>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</si>
  <si>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</si>
  <si>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</si>
  <si>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</si>
  <si>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</si>
  <si>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</si>
  <si>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</si>
  <si>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</si>
  <si>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</si>
  <si>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</si>
  <si>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</si>
  <si>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</si>
  <si>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</si>
  <si>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</si>
  <si>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</si>
  <si>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本色涂油</t>
    <phoneticPr fontId="7" type="noConversion"/>
  </si>
  <si>
    <t>编织袋+木箱（免熏蒸）</t>
    <phoneticPr fontId="7" type="noConversion"/>
  </si>
  <si>
    <t>螺纹道钉</t>
    <phoneticPr fontId="7" type="noConversion"/>
  </si>
  <si>
    <t>编织袋+木箱（免熏蒸材质）。包装足够结实，适合多次转运。唛头按需方要求标注。木箱1200mm长*800mm宽，高度别超过700mm, 一个木箱重量毛重不超过1050KG。</t>
    <phoneticPr fontId="7" type="noConversion"/>
  </si>
  <si>
    <t>生产部门按生产工艺生产，加强自检，严格质量管理。</t>
    <phoneticPr fontId="7" type="noConversion"/>
  </si>
  <si>
    <t>4 月  份  销  售  计  划  8</t>
    <phoneticPr fontId="7" type="noConversion"/>
  </si>
  <si>
    <t>260421-1</t>
    <phoneticPr fontId="7" type="noConversion"/>
  </si>
  <si>
    <t>20*120</t>
    <phoneticPr fontId="7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</si>
  <si>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20</t>
    </r>
    <phoneticPr fontId="7" type="noConversion"/>
  </si>
  <si>
    <t>ZSTL-CH2026041501-1</t>
    <phoneticPr fontId="7" type="noConversion"/>
  </si>
  <si>
    <t>TYLD-26-2</t>
    <phoneticPr fontId="7" type="noConversion"/>
  </si>
  <si>
    <t>35K</t>
    <phoneticPr fontId="7" type="noConversion"/>
  </si>
  <si>
    <t>TK
26
5.6
S6</t>
    <phoneticPr fontId="7" type="noConversion"/>
  </si>
  <si>
    <t>2026-5-23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</si>
</sst>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topLeftCell="A5" workbookViewId="0">
      <selection activeCell="C15" sqref="C15:M15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8.125" style="2" customWidth="1"/>
    <col min="22" max="22" width="6" style="2" customWidth="1"/>
    <col min="23" max="16384" width="9" style="2"/>
  </cols>
  <sheetData>
    <row r="1" spans="1:22" ht="33" customHeight="1" x14ac:dyDescent="0.15">
      <c r="A1" s="29" t="s">
        <v>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s="1" customFormat="1" ht="21" customHeight="1" x14ac:dyDescent="0.15">
      <c r="B2" s="1" t="s">
        <v>0</v>
      </c>
      <c r="C2" s="11" t="s">
        <v>33</v>
      </c>
      <c r="G2" s="30" t="s">
        <v>1</v>
      </c>
      <c r="H2" s="30"/>
      <c r="N2" s="30" t="s">
        <v>2</v>
      </c>
      <c r="O2" s="30"/>
      <c r="T2" s="31" t="s">
        <v>3</v>
      </c>
      <c r="U2" s="32"/>
      <c r="V2" s="32"/>
    </row>
    <row r="3" spans="1:22" s="1" customFormat="1" ht="27" customHeight="1" x14ac:dyDescent="0.15">
      <c r="A3" s="22" t="s">
        <v>4</v>
      </c>
      <c r="B3" s="22" t="s">
        <v>5</v>
      </c>
      <c r="C3" s="22" t="s">
        <v>6</v>
      </c>
      <c r="D3" s="22" t="s">
        <v>7</v>
      </c>
      <c r="E3" s="22" t="s">
        <v>8</v>
      </c>
      <c r="F3" s="35" t="s">
        <v>34</v>
      </c>
      <c r="G3" s="3" t="s">
        <v>9</v>
      </c>
      <c r="H3" s="33" t="s">
        <v>10</v>
      </c>
      <c r="I3" s="34"/>
      <c r="J3" s="34"/>
      <c r="K3" s="22" t="s">
        <v>11</v>
      </c>
      <c r="L3" s="22"/>
      <c r="M3" s="22"/>
      <c r="N3" s="22"/>
      <c r="O3" s="22"/>
      <c r="P3" s="22"/>
      <c r="Q3" s="22" t="s">
        <v>12</v>
      </c>
      <c r="R3" s="22"/>
      <c r="S3" s="22" t="s">
        <v>13</v>
      </c>
      <c r="T3" s="22" t="s">
        <v>14</v>
      </c>
      <c r="U3" s="22" t="s">
        <v>15</v>
      </c>
      <c r="V3" s="22" t="s">
        <v>16</v>
      </c>
    </row>
    <row r="4" spans="1:22" s="1" customFormat="1" ht="27.75" customHeight="1" x14ac:dyDescent="0.15">
      <c r="A4" s="22"/>
      <c r="B4" s="22"/>
      <c r="C4" s="22"/>
      <c r="D4" s="22"/>
      <c r="E4" s="22"/>
      <c r="F4" s="22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39</v>
      </c>
      <c r="N4" s="3" t="s">
        <v>40</v>
      </c>
      <c r="O4" s="3" t="s">
        <v>41</v>
      </c>
      <c r="P4" s="3" t="s">
        <v>23</v>
      </c>
      <c r="Q4" s="3" t="s">
        <v>21</v>
      </c>
      <c r="R4" s="3" t="s">
        <v>22</v>
      </c>
      <c r="S4" s="22"/>
      <c r="T4" s="22"/>
      <c r="U4" s="22"/>
      <c r="V4" s="22"/>
    </row>
    <row r="5" spans="1:22" s="1" customFormat="1" ht="59.25" customHeight="1" x14ac:dyDescent="0.15">
      <c r="A5" s="3">
        <v>1</v>
      </c>
      <c r="B5" s="3" t="s">
        <v>44</v>
      </c>
      <c r="C5" s="3" t="s">
        <v>49</v>
      </c>
      <c r="D5" s="14" t="s">
        <v>48</v>
      </c>
      <c r="E5" s="4" t="s">
        <v>51</v>
      </c>
      <c r="F5" s="3" t="s">
        <v>52</v>
      </c>
      <c r="G5" s="5">
        <v>0.38</v>
      </c>
      <c r="H5" s="3" t="s">
        <v>53</v>
      </c>
      <c r="I5" s="16" t="s">
        <v>50</v>
      </c>
      <c r="J5" s="12">
        <f>L5/0.9</f>
        <v>12.666666666666666</v>
      </c>
      <c r="K5" s="3">
        <v>30000</v>
      </c>
      <c r="L5" s="10">
        <f>K5*G5/1000</f>
        <v>11.4</v>
      </c>
      <c r="M5" s="3">
        <v>50</v>
      </c>
      <c r="N5" s="3">
        <v>600</v>
      </c>
      <c r="O5" s="3">
        <v>50</v>
      </c>
      <c r="P5" s="3">
        <v>12</v>
      </c>
      <c r="Q5" s="3">
        <v>30100</v>
      </c>
      <c r="R5" s="10">
        <f>Q5*G5/1000</f>
        <v>11.438000000000001</v>
      </c>
      <c r="S5" s="17" t="s">
        <v>55</v>
      </c>
      <c r="T5" s="3" t="s">
        <v>54</v>
      </c>
      <c r="U5" s="4" t="s">
        <v>42</v>
      </c>
      <c r="V5" s="4" t="s">
        <v>43</v>
      </c>
    </row>
    <row r="6" spans="1:22" s="1" customFormat="1" ht="16.5" customHeight="1" x14ac:dyDescent="0.15">
      <c r="A6" s="23" t="s">
        <v>24</v>
      </c>
      <c r="B6" s="24"/>
      <c r="C6" s="20"/>
      <c r="D6" s="20"/>
      <c r="E6" s="20"/>
      <c r="F6" s="20"/>
      <c r="G6" s="20"/>
      <c r="H6" s="20"/>
      <c r="I6" s="20"/>
      <c r="J6" s="9">
        <f>SUM(J5:J5)</f>
        <v>12.666666666666666</v>
      </c>
      <c r="K6" s="9">
        <f>SUM(K5:K5)</f>
        <v>30000</v>
      </c>
      <c r="L6" s="9">
        <f>SUM(L5:L5)</f>
        <v>11.4</v>
      </c>
      <c r="M6" s="9"/>
      <c r="N6" s="9">
        <f>SUM(N5:N5)</f>
        <v>600</v>
      </c>
      <c r="O6" s="9"/>
      <c r="P6" s="9">
        <f>SUM(P5:P5)</f>
        <v>12</v>
      </c>
      <c r="Q6" s="9">
        <f>SUM(Q5:Q5)</f>
        <v>30100</v>
      </c>
      <c r="R6" s="9">
        <f>SUM(R5:R5)</f>
        <v>11.438000000000001</v>
      </c>
      <c r="S6" s="4"/>
      <c r="T6" s="27" t="s">
        <v>36</v>
      </c>
      <c r="U6" s="4"/>
      <c r="V6" s="4"/>
    </row>
    <row r="7" spans="1:22" s="1" customFormat="1" ht="16.5" customHeight="1" x14ac:dyDescent="0.15">
      <c r="A7" s="25"/>
      <c r="B7" s="26"/>
      <c r="C7" s="21"/>
      <c r="D7" s="21"/>
      <c r="E7" s="21"/>
      <c r="F7" s="21"/>
      <c r="G7" s="21"/>
      <c r="H7" s="21"/>
      <c r="I7" s="21"/>
      <c r="J7" s="6" t="s">
        <v>22</v>
      </c>
      <c r="K7" s="13" t="s">
        <v>35</v>
      </c>
      <c r="L7" s="6" t="s">
        <v>22</v>
      </c>
      <c r="M7" s="6"/>
      <c r="N7" s="6" t="s">
        <v>40</v>
      </c>
      <c r="O7" s="6"/>
      <c r="P7" s="6" t="s">
        <v>23</v>
      </c>
      <c r="Q7" s="13" t="s">
        <v>35</v>
      </c>
      <c r="R7" s="7" t="s">
        <v>22</v>
      </c>
      <c r="S7" s="6"/>
      <c r="T7" s="28"/>
      <c r="U7" s="6"/>
      <c r="V7" s="6"/>
    </row>
    <row r="9" spans="1:22" s="1" customFormat="1" ht="19.5" customHeight="1" x14ac:dyDescent="0.15">
      <c r="B9" s="1" t="s">
        <v>25</v>
      </c>
      <c r="R9" s="8"/>
      <c r="S9" s="15" t="s">
        <v>38</v>
      </c>
    </row>
    <row r="10" spans="1:22" s="1" customFormat="1" ht="19.5" customHeight="1" x14ac:dyDescent="0.15">
      <c r="A10" s="1" t="s">
        <v>26</v>
      </c>
      <c r="B10" s="19" t="s">
        <v>27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s="1" customFormat="1" ht="19.5" customHeight="1" x14ac:dyDescent="0.15">
      <c r="B11" s="19" t="s">
        <v>28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s="1" customFormat="1" ht="19.5" customHeight="1" x14ac:dyDescent="0.15">
      <c r="A12" s="1" t="s">
        <v>29</v>
      </c>
      <c r="B12" s="19" t="s">
        <v>46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1" customFormat="1" ht="19.5" customHeight="1" x14ac:dyDescent="0.15">
      <c r="A13" s="1" t="s">
        <v>30</v>
      </c>
      <c r="B13" s="19" t="s">
        <v>31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s="1" customFormat="1" ht="31.5" customHeight="1" x14ac:dyDescent="0.15">
      <c r="A14" s="11" t="s">
        <v>37</v>
      </c>
      <c r="B14" s="19" t="s">
        <v>45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20.25" customHeight="1" x14ac:dyDescent="0.15">
      <c r="C15" s="19" t="s">
        <v>32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22" ht="22.5" x14ac:dyDescent="0.15">
      <c r="Q16" s="18">
        <v>46133</v>
      </c>
      <c r="R16" s="18"/>
      <c r="S16" s="18"/>
      <c r="T16" s="18"/>
      <c r="U16" s="18"/>
      <c r="V16" s="18"/>
    </row>
  </sheetData>
  <mergeCells count="33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B3:B4"/>
    <mergeCell ref="C3:C4"/>
    <mergeCell ref="D3:D4"/>
    <mergeCell ref="D6:D7"/>
    <mergeCell ref="A6:B7"/>
    <mergeCell ref="T6:T7"/>
    <mergeCell ref="F6:F7"/>
    <mergeCell ref="G6:G7"/>
    <mergeCell ref="H6:H7"/>
    <mergeCell ref="I6:I7"/>
    <mergeCell ref="C6:C7"/>
    <mergeCell ref="Q16:V16"/>
    <mergeCell ref="B11:V11"/>
    <mergeCell ref="B12:V12"/>
    <mergeCell ref="E6:E7"/>
    <mergeCell ref="B13:V13"/>
    <mergeCell ref="C15:M15"/>
    <mergeCell ref="B10:V10"/>
    <mergeCell ref="B14:V14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2026-01-16T07:00:48Z</cp:lastPrinted>
  <dcterms:created xsi:type="dcterms:W3CDTF">2006-09-13T11:21:00Z</dcterms:created>
  <dcterms:modified xsi:type="dcterms:W3CDTF">2026-04-21T07:49:33Z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