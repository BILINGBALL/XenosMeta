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13_ncr:1_{0C0E0DD4-E9BA-4CB8-AFB5-02FD78518B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7" i="1"/>
  <c r="L9" i="1"/>
  <c r="Q9" i="1"/>
  <c r="O9" i="1"/>
  <c r="M8" i="1"/>
  <c r="M7" i="1"/>
  <c r="M9" i="1" l="1"/>
  <c r="S9" i="1"/>
  <c r="K7" i="1"/>
  <c r="K9" i="1" s="1"/>
</calcChain>
</file>

<file path=xl/sharedStrings.xml><?xml version="1.0" encoding="utf-8"?>
<sst xmlns="http://schemas.openxmlformats.org/spreadsheetml/2006/main" count="61" uniqueCount="58">
  <si>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</si>
  <si>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</si>
  <si>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</si>
  <si>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</si>
  <si>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</si>
  <si>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</si>
  <si>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</si>
  <si>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</si>
  <si>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</si>
  <si>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</si>
  <si>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</si>
  <si>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</si>
  <si>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</si>
  <si>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</si>
  <si>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</si>
  <si>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</si>
  <si>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</si>
  <si>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</si>
  <si>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</si>
  <si>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</si>
  <si>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</si>
  <si>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</si>
  <si>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</si>
  <si>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</si>
  <si>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</si>
  <si>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</si>
  <si>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</si>
  <si>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</si>
  <si>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</si>
  <si>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</si>
  <si>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ISO 898-1
UIC 864-1
5.6级</t>
  </si>
  <si>
    <t>35K</t>
  </si>
  <si>
    <t>Φ24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</si>
  <si>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</si>
  <si>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</si>
  <si>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</si>
  <si>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</si>
  <si>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</si>
  <si>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</si>
  <si>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</si>
  <si>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</si>
  <si>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</si>
  <si>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>分发：总经理、总经办、品管部、生产部</t>
  </si>
  <si>
    <t>弹垫</t>
    <phoneticPr fontId="10" type="noConversion"/>
  </si>
  <si>
    <t>60Si2Mn</t>
    <phoneticPr fontId="10" type="noConversion"/>
  </si>
  <si>
    <t>外购</t>
    <phoneticPr fontId="10" type="noConversion"/>
  </si>
  <si>
    <t>SS35
24*142</t>
    <phoneticPr fontId="9" type="noConversion"/>
  </si>
  <si>
    <t>包装不确定</t>
    <phoneticPr fontId="9" type="noConversion"/>
  </si>
  <si>
    <t>编织袋+欧式托盘</t>
    <phoneticPr fontId="9" type="noConversion"/>
  </si>
  <si>
    <t xml:space="preserve">包装物为编织袋加欧式托盘。 </t>
    <phoneticPr fontId="9" type="noConversion"/>
  </si>
  <si>
    <r>
      <t>热镀锌
≥45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9" type="noConversion"/>
  </si>
  <si>
    <t>3 月  份  销  售  计  划  10</t>
    <phoneticPr fontId="9" type="noConversion"/>
  </si>
  <si>
    <t>260326-1</t>
    <phoneticPr fontId="9" type="noConversion"/>
  </si>
  <si>
    <t>260326-2</t>
  </si>
  <si>
    <t>2026-5-5</t>
    <phoneticPr fontId="9" type="noConversion"/>
  </si>
  <si>
    <t>SDL
26</t>
    <phoneticPr fontId="9" type="noConversion"/>
  </si>
  <si>
    <t>PS0180_00</t>
    <phoneticPr fontId="9" type="noConversion"/>
  </si>
  <si>
    <t>PS0068_00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</si>
</sst>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8" workbookViewId="0">
      <selection activeCell="R8" sqref="R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35" t="s">
        <v>51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4" spans="1:23" s="1" customFormat="1" ht="27.75" customHeight="1" x14ac:dyDescent="0.15">
      <c r="A4" s="36" t="s">
        <v>0</v>
      </c>
      <c r="B4" s="36"/>
      <c r="C4" s="1" t="s">
        <v>1</v>
      </c>
      <c r="H4" s="36" t="s">
        <v>2</v>
      </c>
      <c r="I4" s="36"/>
      <c r="O4" s="36" t="s">
        <v>3</v>
      </c>
      <c r="P4" s="36"/>
      <c r="U4" s="37"/>
      <c r="V4" s="38"/>
      <c r="W4" s="38"/>
    </row>
    <row r="5" spans="1:23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24" t="s">
        <v>12</v>
      </c>
      <c r="J5" s="25"/>
      <c r="K5" s="25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2"/>
      <c r="U6" s="22"/>
      <c r="V6" s="22"/>
      <c r="W6" s="22"/>
    </row>
    <row r="7" spans="1:23" s="1" customFormat="1" ht="84" customHeight="1" x14ac:dyDescent="0.15">
      <c r="A7" s="4">
        <v>1</v>
      </c>
      <c r="B7" s="3" t="s">
        <v>29</v>
      </c>
      <c r="C7" s="14" t="s">
        <v>46</v>
      </c>
      <c r="D7" s="14" t="s">
        <v>52</v>
      </c>
      <c r="E7" s="29">
        <v>178031</v>
      </c>
      <c r="F7" s="5" t="s">
        <v>30</v>
      </c>
      <c r="G7" s="15" t="s">
        <v>56</v>
      </c>
      <c r="H7" s="3">
        <v>0.55600000000000005</v>
      </c>
      <c r="I7" s="3" t="s">
        <v>31</v>
      </c>
      <c r="J7" s="3" t="s">
        <v>32</v>
      </c>
      <c r="K7" s="18">
        <f>M7/0.92</f>
        <v>9.78741304347826</v>
      </c>
      <c r="L7" s="3">
        <v>16195</v>
      </c>
      <c r="M7" s="6">
        <f>L7*H7/1000</f>
        <v>9.0044199999999996</v>
      </c>
      <c r="N7" s="3">
        <v>40</v>
      </c>
      <c r="O7" s="3">
        <v>405</v>
      </c>
      <c r="P7" s="3">
        <v>32</v>
      </c>
      <c r="Q7" s="3">
        <v>13</v>
      </c>
      <c r="R7" s="3">
        <v>16220</v>
      </c>
      <c r="S7" s="39">
        <f>H7*R7/1000</f>
        <v>9.018320000000001</v>
      </c>
      <c r="T7" s="31" t="s">
        <v>54</v>
      </c>
      <c r="U7" s="5" t="s">
        <v>55</v>
      </c>
      <c r="V7" s="14" t="s">
        <v>50</v>
      </c>
      <c r="W7" s="33" t="s">
        <v>48</v>
      </c>
    </row>
    <row r="8" spans="1:23" s="13" customFormat="1" ht="83.25" customHeight="1" x14ac:dyDescent="0.15">
      <c r="A8" s="10">
        <v>2</v>
      </c>
      <c r="B8" s="10" t="s">
        <v>43</v>
      </c>
      <c r="C8" s="10">
        <v>26</v>
      </c>
      <c r="D8" s="14" t="s">
        <v>53</v>
      </c>
      <c r="E8" s="30"/>
      <c r="F8" s="10"/>
      <c r="G8" s="10" t="s">
        <v>57</v>
      </c>
      <c r="H8" s="11">
        <v>0.09</v>
      </c>
      <c r="I8" s="12" t="s">
        <v>44</v>
      </c>
      <c r="J8" s="27" t="s">
        <v>45</v>
      </c>
      <c r="K8" s="28"/>
      <c r="L8" s="10">
        <v>16195</v>
      </c>
      <c r="M8" s="17">
        <f>L8*H8/1000</f>
        <v>1.4575499999999999</v>
      </c>
      <c r="N8" s="10">
        <v>200</v>
      </c>
      <c r="O8" s="10">
        <v>81</v>
      </c>
      <c r="P8" s="10">
        <v>50</v>
      </c>
      <c r="Q8" s="10">
        <v>2</v>
      </c>
      <c r="R8" s="3">
        <v>16220</v>
      </c>
      <c r="S8" s="39">
        <f>H8*R8/1000</f>
        <v>1.4598</v>
      </c>
      <c r="T8" s="32"/>
      <c r="U8" s="10"/>
      <c r="V8" s="14" t="s">
        <v>50</v>
      </c>
      <c r="W8" s="34"/>
    </row>
    <row r="9" spans="1:23" s="1" customFormat="1" ht="47.25" customHeight="1" x14ac:dyDescent="0.15">
      <c r="A9" s="24" t="s">
        <v>33</v>
      </c>
      <c r="B9" s="25"/>
      <c r="C9" s="25"/>
      <c r="D9" s="25"/>
      <c r="E9" s="25"/>
      <c r="F9" s="25"/>
      <c r="G9" s="26"/>
      <c r="H9" s="3"/>
      <c r="I9" s="3"/>
      <c r="J9" s="3"/>
      <c r="K9" s="6">
        <f>SUM(K7:K7)</f>
        <v>9.78741304347826</v>
      </c>
      <c r="L9" s="6">
        <f>SUM(L7:L8)</f>
        <v>32390</v>
      </c>
      <c r="M9" s="6">
        <f>SUM(M7:M8)</f>
        <v>10.461969999999999</v>
      </c>
      <c r="N9" s="3"/>
      <c r="O9" s="6">
        <f>SUM(O7:O8)</f>
        <v>486</v>
      </c>
      <c r="P9" s="6"/>
      <c r="Q9" s="6">
        <f>SUM(Q7:Q8)</f>
        <v>15</v>
      </c>
      <c r="R9" s="3"/>
      <c r="S9" s="6">
        <f>SUM(S7:S8)</f>
        <v>10.478120000000001</v>
      </c>
      <c r="T9" s="8"/>
      <c r="U9" s="3" t="s">
        <v>34</v>
      </c>
      <c r="V9" s="3"/>
      <c r="W9" s="5"/>
    </row>
    <row r="10" spans="1:23" ht="29.25" customHeight="1" x14ac:dyDescent="0.15">
      <c r="O10" s="16" t="s">
        <v>47</v>
      </c>
      <c r="T10" s="9" t="s">
        <v>35</v>
      </c>
    </row>
    <row r="11" spans="1:23" s="1" customFormat="1" ht="19.5" customHeight="1" x14ac:dyDescent="0.15">
      <c r="B11" s="1" t="s">
        <v>36</v>
      </c>
      <c r="O11" s="7"/>
    </row>
    <row r="12" spans="1:23" s="1" customFormat="1" ht="19.5" customHeight="1" x14ac:dyDescent="0.15">
      <c r="A12" s="1" t="s">
        <v>37</v>
      </c>
      <c r="B12" s="19" t="s">
        <v>38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pans="1:23" s="1" customFormat="1" ht="19.5" customHeight="1" x14ac:dyDescent="0.15">
      <c r="A13" s="1" t="s">
        <v>39</v>
      </c>
      <c r="B13" s="19" t="s">
        <v>40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pans="1:23" s="1" customFormat="1" ht="19.5" customHeight="1" x14ac:dyDescent="0.15">
      <c r="A14" s="1" t="s">
        <v>41</v>
      </c>
      <c r="B14" s="20" t="s">
        <v>49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2.75" customHeight="1" x14ac:dyDescent="0.15"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20.25" customHeight="1" x14ac:dyDescent="0.15">
      <c r="C16" s="20" t="s">
        <v>42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3"/>
      <c r="P16" s="23"/>
      <c r="Q16" s="23"/>
      <c r="R16" s="23"/>
      <c r="S16" s="23"/>
      <c r="T16" s="23"/>
      <c r="U16" s="23"/>
      <c r="V16" s="23"/>
      <c r="W16" s="23"/>
    </row>
    <row r="17" spans="17:20" x14ac:dyDescent="0.15">
      <c r="Q17" s="21">
        <v>46107</v>
      </c>
      <c r="R17" s="21"/>
      <c r="S17" s="21"/>
      <c r="T17" s="21"/>
    </row>
  </sheetData>
  <mergeCells count="30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J8:K8"/>
    <mergeCell ref="E7:E8"/>
    <mergeCell ref="T7:T8"/>
    <mergeCell ref="W7:W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2026-03-30T05:31:59Z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